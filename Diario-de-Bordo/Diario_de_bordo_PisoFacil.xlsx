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2" documentId="13_ncr:1_{442E2DED-069A-4878-8BC2-79FE4071F774}" xr6:coauthVersionLast="47" xr6:coauthVersionMax="47" xr10:uidLastSave="{6C7DF284-49C0-4482-8C82-ECB29223ADC6}"/>
  <bookViews>
    <workbookView xWindow="-120" yWindow="-120" windowWidth="20730" windowHeight="11040" tabRatio="500" firstSheet="0" activeTab="0" xr2:uid="{00000000-000D-0000-FFFF-FFFF00000000}"/>
  </bookViews>
  <sheets>
    <sheet name="LEIA-ME" sheetId="1" r:id="rId1"/>
    <sheet name="1. Identificação" sheetId="3" r:id="rId2"/>
    <sheet name="2. TAP" sheetId="4" r:id="rId3"/>
    <sheet name="3. Stakeholders" sheetId="5" r:id="rId4"/>
    <sheet name="4. Requisitos" sheetId="6" r:id="rId5"/>
    <sheet name="5. EAP-RACI" sheetId="7" r:id="rId6"/>
    <sheet name="6. Cronograma" sheetId="8" r:id="rId7"/>
    <sheet name="7. Orçamento" sheetId="9" r:id="rId8"/>
    <sheet name="8. Riscos" sheetId="10" r:id="rId9"/>
    <sheet name="9. Backlog-Sprints" sheetId="11" r:id="rId10"/>
    <sheet name="10. Horas Extensão" sheetId="12" r:id="rId11"/>
    <sheet name="11. Mudanças" sheetId="13" r:id="rId12"/>
    <sheet name="12. Qualidade-Testes" sheetId="14" r:id="rId13"/>
    <sheet name="13. EVM" sheetId="15" r:id="rId14"/>
    <sheet name="14. Indicadores ODS" sheetId="16" r:id="rId15"/>
    <sheet name="15. Evidências" sheetId="17" r:id="rId16"/>
    <sheet name="16. Encerramento" sheetId="18" r:id="rId17"/>
    <sheet name="Dashboard" sheetId="19" r:id="rId18"/>
    <sheet name="Jira_teste_leitura" sheetId="22" r:id="rId19"/>
    <sheet name="Jira_consulta" sheetId="20" r:id="rId20"/>
    <sheet name="Função Invocada" sheetId="21" state="hidden" r:id="rId21"/>
  </sheets>
  <definedNames>
    <definedName name="DadosExternos_1" localSheetId="19">Jira_consulta!$A$1:$J$22</definedName>
    <definedName name="DadosExternos_2" localSheetId="20">'Função Invocada'!$A$1</definedName>
    <definedName name="DadosExternos_2" localSheetId="18" hidden="1">Jira_teste_leitura!$A$1:$J$22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4683D1-71F1-4F53-8411-E0A9FFF986E9}" keepAlive="1" name="Consulta - Função Invocada" type="5" refreshedVersion="0" deleted="1" background="1" saveData="1">
    <dbPr connection="" command=""/>
  </connection>
  <connection id="2" xr16:uid="{51CDC102-41DA-4D34-9343-5354BEF98FB9}" keepAlive="1" name="Consulta - Jira_consulta" description="Conexão com a consulta 'Jira_consulta' na pasta de trabalho." type="5" refreshedVersion="8" background="1" saveData="1">
    <dbPr connection="Provider=Microsoft.Mashup.OleDb.1;Data Source=$Workbook$;Location=Jira_consulta;Extended Properties=&quot;&quot;" command="SELECT * FROM [Jira_consulta]"/>
  </connection>
  <connection id="3" xr16:uid="{9AA1748F-FA54-4174-8264-440691B876C5}" keepAlive="1" name="Consulta - Jira_teste_leitura" description="Conexão com a consulta 'Jira_teste_leitura' na pasta de trabalho." type="5" refreshedVersion="8" background="1" saveData="1">
    <dbPr connection="Provider=Microsoft.Mashup.OleDb.1;Data Source=$Workbook$;Location=Jira_teste_leitura;Extended Properties=&quot;&quot;" command="SELECT * FROM [Jira_teste_leitura]"/>
  </connection>
</connections>
</file>

<file path=xl/sharedStrings.xml><?xml version="1.0" encoding="utf-8"?>
<sst xmlns="http://schemas.openxmlformats.org/spreadsheetml/2006/main" count="517" uniqueCount="401">
  <si>
    <t>Dashboard do Projeto</t>
  </si>
  <si>
    <t>Resumo executivo para acompanhamento da equipe e validação do professor</t>
  </si>
  <si>
    <t>KPIs</t>
  </si>
  <si>
    <t>Projeto</t>
  </si>
  <si>
    <t>Parceiro</t>
  </si>
  <si>
    <t>ODS</t>
  </si>
  <si>
    <t>Horas registradas</t>
  </si>
  <si>
    <t>Meta</t>
  </si>
  <si>
    <t>Atingimento</t>
  </si>
  <si>
    <t>Progresso cronograma</t>
  </si>
  <si>
    <t>Evidências concluídas</t>
  </si>
  <si>
    <t>Riscos altos/críticos</t>
  </si>
  <si>
    <t>CPI</t>
  </si>
  <si>
    <t>SPI</t>
  </si>
  <si>
    <t>TRL</t>
  </si>
  <si>
    <t>INDICADORES ODS</t>
  </si>
  <si>
    <t>Indicador</t>
  </si>
  <si>
    <t>Resultado</t>
  </si>
  <si>
    <t>Classificação</t>
  </si>
  <si>
    <t>Fonte</t>
  </si>
  <si>
    <t>Situação</t>
  </si>
  <si>
    <t>Observação</t>
  </si>
  <si>
    <t>Status</t>
  </si>
  <si>
    <t>Quantidade</t>
  </si>
  <si>
    <t>ODS 9.3.1</t>
  </si>
  <si>
    <t>Orçamento + 3 cotações</t>
  </si>
  <si>
    <t>Não iniciado</t>
  </si>
  <si>
    <t>ODS 12.b.1</t>
  </si>
  <si>
    <t>EVM</t>
  </si>
  <si>
    <t>Em andamento</t>
  </si>
  <si>
    <t>ODS 17.18.1</t>
  </si>
  <si>
    <t>Requisitos + ODS/meta</t>
  </si>
  <si>
    <t>Aguardando parceiro</t>
  </si>
  <si>
    <t>Eficiência / Eficácia</t>
  </si>
  <si>
    <t>EAP + horas + objetivos</t>
  </si>
  <si>
    <t>Concluído</t>
  </si>
  <si>
    <t>Bloqueado</t>
  </si>
  <si>
    <t>Planilha do Aluno/Equipe — Projeto de Extensão</t>
  </si>
  <si>
    <t>Prática de Gestão de Projetos · Fatec São Roque · ODS 9, 12 e 17</t>
  </si>
  <si>
    <t>COMO USAR</t>
  </si>
  <si>
    <t>1</t>
  </si>
  <si>
    <t>Esta planilha pertence a UMA equipe/projeto.</t>
  </si>
  <si>
    <t>2</t>
  </si>
  <si>
    <t>Preencha somente as células amarelas. Células brancas/cinzas podem conter fórmulas.</t>
  </si>
  <si>
    <t>3</t>
  </si>
  <si>
    <t>Use o mesmo projeto durante todo o semestre; os artefatos são acumulativos.</t>
  </si>
  <si>
    <t>4</t>
  </si>
  <si>
    <t>Registre evidências por link/arquivo e mantenha o professor com acesso ao board Kanban e à pasta de evidências.</t>
  </si>
  <si>
    <t>5</t>
  </si>
  <si>
    <t>A aba Requisitos deve conter a meta numerada do ODS quando houver vínculo (ex.: 12.5, 9.3, 17.17).</t>
  </si>
  <si>
    <t>6</t>
  </si>
  <si>
    <t>7</t>
  </si>
  <si>
    <t>O diário operacional pode ficar no Jira; esta planilha consolida gestão, horas, indicadores e evidências.</t>
  </si>
  <si>
    <t>ABAS E FINALIDADE</t>
  </si>
  <si>
    <t>1. Identificação</t>
  </si>
  <si>
    <t>Equipe, parceiro, sponsor, gerente, ODS e dados gerais.</t>
  </si>
  <si>
    <t>2. TAP</t>
  </si>
  <si>
    <t>Problema, justificativa, objetivos SMART, premissas, restrições e sucesso.</t>
  </si>
  <si>
    <t>3. Stakeholders</t>
  </si>
  <si>
    <t>Poder, interesse, atitude, estratégia e comunicação.</t>
  </si>
  <si>
    <t>4. Requisitos</t>
  </si>
  <si>
    <t>Requisitos, aceitação, prioridade, origem e vínculo ODS/meta.</t>
  </si>
  <si>
    <t>5. EAP-RACI</t>
  </si>
  <si>
    <t>Entregas, pacotes de trabalho, esforço e responsabilidades.</t>
  </si>
  <si>
    <t>6. Cronograma</t>
  </si>
  <si>
    <t>Planejado x real, dependências e progresso.</t>
  </si>
  <si>
    <t>7. Orçamento</t>
  </si>
  <si>
    <t>Custos previstos/reais, variações e cotações.</t>
  </si>
  <si>
    <t>8. Riscos</t>
  </si>
  <si>
    <t>Probabilidade, impacto, exposição, resposta e gatilho.</t>
  </si>
  <si>
    <t>9. Backlog-Sprints</t>
  </si>
  <si>
    <t>Épicos, histórias, tarefas, sprint, prioridade e status.</t>
  </si>
  <si>
    <t>10. Horas Extensão</t>
  </si>
  <si>
    <t>Horas em aula e extraclasse, alunos e evidências.</t>
  </si>
  <si>
    <t>11. Mudanças</t>
  </si>
  <si>
    <t>Solicitações e impactos em escopo, prazo, custo e qualidade.</t>
  </si>
  <si>
    <t>12. Qualidade-Testes</t>
  </si>
  <si>
    <t>Critérios de aceitação, casos de teste e resultado.</t>
  </si>
  <si>
    <t>13. EVM</t>
  </si>
  <si>
    <t>PV, EV, AC, CPI, SPI e situação.</t>
  </si>
  <si>
    <t>14. Indicadores ODS</t>
  </si>
  <si>
    <t>I_9.3.1, I_12.b.1, I_17.18.1, eficiência e eficácia.</t>
  </si>
  <si>
    <t>15. Evidências</t>
  </si>
  <si>
    <t>Checklist do portfólio e links.</t>
  </si>
  <si>
    <t>16. Encerramento</t>
  </si>
  <si>
    <t>Objetivos, aceite, lições aprendidas e continuidade.</t>
  </si>
  <si>
    <t>Dashboard</t>
  </si>
  <si>
    <t>Resumo executivo do projeto.</t>
  </si>
  <si>
    <t>key</t>
  </si>
  <si>
    <t>summary</t>
  </si>
  <si>
    <t>status</t>
  </si>
  <si>
    <t>assignee</t>
  </si>
  <si>
    <t>created</t>
  </si>
  <si>
    <t>Identificação do Projeto</t>
  </si>
  <si>
    <t>Preencher no início do semestre e revisar quando necessário</t>
  </si>
  <si>
    <t>DADOS DO PROJETO</t>
  </si>
  <si>
    <t>Nome do projeto</t>
  </si>
  <si>
    <t>Papel</t>
  </si>
  <si>
    <t>Nome</t>
  </si>
  <si>
    <t>Responsabilidade principal</t>
  </si>
  <si>
    <t>Nome da equipe/empresa</t>
  </si>
  <si>
    <t>Organização parceira</t>
  </si>
  <si>
    <t>Responsável do parceiro</t>
  </si>
  <si>
    <t>E-mail/contato</t>
  </si>
  <si>
    <t>Sponsor institucional</t>
  </si>
  <si>
    <t>Gerente do projeto (aluno)</t>
  </si>
  <si>
    <t>Demais integrantes</t>
  </si>
  <si>
    <t>ODS principal</t>
  </si>
  <si>
    <t>Meta(s) ODS prioritária(s)</t>
  </si>
  <si>
    <t>Data de início</t>
  </si>
  <si>
    <t>Data prevista de término</t>
  </si>
  <si>
    <t>Link do Jira/Kanban</t>
  </si>
  <si>
    <t>Pasta de evidências</t>
  </si>
  <si>
    <t>Repositório GitHub</t>
  </si>
  <si>
    <t>Protótipo/Figma</t>
  </si>
  <si>
    <t>Homologação/MVP</t>
  </si>
  <si>
    <t>Termo de Abertura do Projeto (TAP)</t>
  </si>
  <si>
    <t>Base para autorização formal e validação do escopo</t>
  </si>
  <si>
    <t>1. Problema e justificativa</t>
  </si>
  <si>
    <t>2. Produto/MVP e resultados esperados</t>
  </si>
  <si>
    <t>3. Objetivos SMART</t>
  </si>
  <si>
    <t>#</t>
  </si>
  <si>
    <t>Objetivo SMART</t>
  </si>
  <si>
    <t>Valor-base</t>
  </si>
  <si>
    <t>Prazo</t>
  </si>
  <si>
    <t>ODS/meta</t>
  </si>
  <si>
    <t>4. Premissas e restrições</t>
  </si>
  <si>
    <t>Tipo</t>
  </si>
  <si>
    <t>Descrição</t>
  </si>
  <si>
    <t>Impacto se não atendida</t>
  </si>
  <si>
    <t>Responsável</t>
  </si>
  <si>
    <t>Evidência</t>
  </si>
  <si>
    <t>5. Critérios de sucesso e marcos</t>
  </si>
  <si>
    <t>Critério/Marco</t>
  </si>
  <si>
    <t>Métrica ou condição</t>
  </si>
  <si>
    <t>Data planejada</t>
  </si>
  <si>
    <t>Data real</t>
  </si>
  <si>
    <t>Aceite/registro</t>
  </si>
  <si>
    <t>Registro de Stakeholders</t>
  </si>
  <si>
    <t>Mapeamento de poder, interesse, atitude e engajamento</t>
  </si>
  <si>
    <t>ID</t>
  </si>
  <si>
    <t>Stakeholder/Grupo</t>
  </si>
  <si>
    <t>Organização</t>
  </si>
  <si>
    <t>Papel/Interesse</t>
  </si>
  <si>
    <t>Poder (1-5)</t>
  </si>
  <si>
    <t>Interesse (1-5)</t>
  </si>
  <si>
    <t>Atitude</t>
  </si>
  <si>
    <t>Estratégia de engajamento</t>
  </si>
  <si>
    <t>Canal/Frequência</t>
  </si>
  <si>
    <t>STK-01</t>
  </si>
  <si>
    <t>STK-02</t>
  </si>
  <si>
    <t>STK-03</t>
  </si>
  <si>
    <t>STK-04</t>
  </si>
  <si>
    <t>STK-05</t>
  </si>
  <si>
    <t>STK-06</t>
  </si>
  <si>
    <t>STK-07</t>
  </si>
  <si>
    <t>STK-08</t>
  </si>
  <si>
    <t>STK-09</t>
  </si>
  <si>
    <t>STK-10</t>
  </si>
  <si>
    <t>STK-11</t>
  </si>
  <si>
    <t>STK-12</t>
  </si>
  <si>
    <t>STK-13</t>
  </si>
  <si>
    <t>STK-14</t>
  </si>
  <si>
    <t>STK-15</t>
  </si>
  <si>
    <t>STK-16</t>
  </si>
  <si>
    <t>STK-17</t>
  </si>
  <si>
    <t>STK-18</t>
  </si>
  <si>
    <t>STK-19</t>
  </si>
  <si>
    <t>STK-20</t>
  </si>
  <si>
    <t>Documento de Requisitos</t>
  </si>
  <si>
    <t>A coluna ODS/meta é obrigatória quando houver vínculo — ex.: 12.5, 9.3, 17.17</t>
  </si>
  <si>
    <t>Descrição do requisito</t>
  </si>
  <si>
    <t>Origem</t>
  </si>
  <si>
    <t>Prioridade</t>
  </si>
  <si>
    <t>Critério de aceitação</t>
  </si>
  <si>
    <t>Meta ODS</t>
  </si>
  <si>
    <t>MVP?</t>
  </si>
  <si>
    <t>—</t>
  </si>
  <si>
    <t>EAP / WBS e Matriz de Responsabilidades</t>
  </si>
  <si>
    <t>Decomposição por entregas + responsáveis</t>
  </si>
  <si>
    <t>Código EAP</t>
  </si>
  <si>
    <t>Entrega</t>
  </si>
  <si>
    <t>Pacote de trabalho</t>
  </si>
  <si>
    <t>Atividade</t>
  </si>
  <si>
    <t>Esforço planej. (h)</t>
  </si>
  <si>
    <t>Responsável (R)</t>
  </si>
  <si>
    <t>Aprovador (A)</t>
  </si>
  <si>
    <t>Consultado (C)</t>
  </si>
  <si>
    <t>Informado (I)</t>
  </si>
  <si>
    <t>Unidade</t>
  </si>
  <si>
    <t>% concluído</t>
  </si>
  <si>
    <t>Cronograma</t>
  </si>
  <si>
    <t>Plano de comunicação</t>
  </si>
  <si>
    <t>Atas e relatórios de status</t>
  </si>
  <si>
    <t>Protótipo navegável</t>
  </si>
  <si>
    <t>Termo de aceite/encerramento</t>
  </si>
  <si>
    <t>Lições aprendidas</t>
  </si>
  <si>
    <t>Divulgação</t>
  </si>
  <si>
    <t>Apresentação final</t>
  </si>
  <si>
    <t>Cronograma do Projeto</t>
  </si>
  <si>
    <t>Planejamento x execução e progresso</t>
  </si>
  <si>
    <t>Atividade/Marco</t>
  </si>
  <si>
    <t>Início planej.</t>
  </si>
  <si>
    <t>Fim planej.</t>
  </si>
  <si>
    <t>Início real</t>
  </si>
  <si>
    <t>Fim real</t>
  </si>
  <si>
    <t>Dependência</t>
  </si>
  <si>
    <t>Dossiê de contexto do parceiro</t>
  </si>
  <si>
    <t>Pré</t>
  </si>
  <si>
    <t>Registro de stakeholders</t>
  </si>
  <si>
    <t>13</t>
  </si>
  <si>
    <t>Registro de riscos</t>
  </si>
  <si>
    <t>Homologação acessível ao parceiro</t>
  </si>
  <si>
    <t>Ficha de indicadores ODS</t>
  </si>
  <si>
    <t>Orçamento e Cotações</t>
  </si>
  <si>
    <t>Previsto x real; base para o indicador ODS 9.3.1</t>
  </si>
  <si>
    <t>Categoria</t>
  </si>
  <si>
    <t>Item/Serviço</t>
  </si>
  <si>
    <t>Qtd.</t>
  </si>
  <si>
    <t>Custo unit. previsto</t>
  </si>
  <si>
    <t>Custo previsto</t>
  </si>
  <si>
    <t>Custo real</t>
  </si>
  <si>
    <t>Variação</t>
  </si>
  <si>
    <t>Fonte/Cotação</t>
  </si>
  <si>
    <t>RESUMO</t>
  </si>
  <si>
    <t>Custo previsto total</t>
  </si>
  <si>
    <t>Custo real total</t>
  </si>
  <si>
    <t>Variação total</t>
  </si>
  <si>
    <t>Média 3 cotações mercado</t>
  </si>
  <si>
    <t>Economia estimada ao parceiro</t>
  </si>
  <si>
    <t>Registro de Riscos e Problemas</t>
  </si>
  <si>
    <t>Probabilidade × impacto, resposta, proprietário e gatilho</t>
  </si>
  <si>
    <t>Risco/Problema</t>
  </si>
  <si>
    <t>Causa</t>
  </si>
  <si>
    <t>Prob. (1-5)</t>
  </si>
  <si>
    <t>Impacto (1-5)</t>
  </si>
  <si>
    <t>Exposição</t>
  </si>
  <si>
    <t>Resposta</t>
  </si>
  <si>
    <t>Proprietário</t>
  </si>
  <si>
    <t>Gatilho</t>
  </si>
  <si>
    <t>Backlog do Produto e Sprints</t>
  </si>
  <si>
    <t>Pode ser espelhado do Jira; mantenha o link na aba Identificação</t>
  </si>
  <si>
    <t>Épico</t>
  </si>
  <si>
    <t>História/Tarefa</t>
  </si>
  <si>
    <t>Story points</t>
  </si>
  <si>
    <t>Sprint</t>
  </si>
  <si>
    <t>Início</t>
  </si>
  <si>
    <t>Fim</t>
  </si>
  <si>
    <t>Controle de Horas de Extensão — Equipe</t>
  </si>
  <si>
    <t>Preencher a cada atividade; anexar link/arquivo de evidência</t>
  </si>
  <si>
    <t>Data</t>
  </si>
  <si>
    <t>Etapa</t>
  </si>
  <si>
    <t>h em aula</t>
  </si>
  <si>
    <t>h extraclasse</t>
  </si>
  <si>
    <t>Total h</t>
  </si>
  <si>
    <t>Participantes</t>
  </si>
  <si>
    <t>Validação professor</t>
  </si>
  <si>
    <t>Portfólio final</t>
  </si>
  <si>
    <t>RESUMO DE HORAS</t>
  </si>
  <si>
    <t>Horas em aula</t>
  </si>
  <si>
    <t>Horas extraclasse</t>
  </si>
  <si>
    <t>Total registrado</t>
  </si>
  <si>
    <t>Meta de extensão</t>
  </si>
  <si>
    <t>Atingimento da meta</t>
  </si>
  <si>
    <t>Controle Integrado de Mudanças</t>
  </si>
  <si>
    <t>Registrar solicitações do parceiro e mudanças simuladas pelo docente</t>
  </si>
  <si>
    <t>Solicitante</t>
  </si>
  <si>
    <t>Mudança solicitada</t>
  </si>
  <si>
    <t>Impacto escopo</t>
  </si>
  <si>
    <t>Impacto prazo</t>
  </si>
  <si>
    <t>Impacto custo</t>
  </si>
  <si>
    <t>Impacto qualidade</t>
  </si>
  <si>
    <t>Decisão</t>
  </si>
  <si>
    <t>Aprovador</t>
  </si>
  <si>
    <t>Data decisão</t>
  </si>
  <si>
    <t>Qualidade, Critérios de Aceitação e Testes</t>
  </si>
  <si>
    <t>Use dados fictícios quando houver informação pessoal/sensível</t>
  </si>
  <si>
    <t>Requisito</t>
  </si>
  <si>
    <t>Tipo de teste</t>
  </si>
  <si>
    <t>Cenário/Tarefa</t>
  </si>
  <si>
    <t>Resultado esperado</t>
  </si>
  <si>
    <t>Resultado obtido</t>
  </si>
  <si>
    <t>Severidade defeito</t>
  </si>
  <si>
    <t>Usuário real?</t>
  </si>
  <si>
    <t>Earned Value Management (EVM)</t>
  </si>
  <si>
    <t>PV = Planned Value · EV = Earned Value · AC = Actual Cost</t>
  </si>
  <si>
    <t>Período</t>
  </si>
  <si>
    <t>PV</t>
  </si>
  <si>
    <t>EV</t>
  </si>
  <si>
    <t>AC</t>
  </si>
  <si>
    <t>CV = EV-AC</t>
  </si>
  <si>
    <t>SV = EV-PV</t>
  </si>
  <si>
    <t>CPI = EV/AC</t>
  </si>
  <si>
    <t>SPI = EV/PV</t>
  </si>
  <si>
    <t>Situação custo</t>
  </si>
  <si>
    <t>Situação prazo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</si>
  <si>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</si>
  <si>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</si>
  <si>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</si>
  <si>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</si>
  <si>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</si>
  <si>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</si>
  <si>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</si>
  <si>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</si>
  <si>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</si>
  <si>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</si>
  <si>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</si>
  <si>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</si>
  <si>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</si>
  <si>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</si>
  <si>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</si>
  <si>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</si>
  <si>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</si>
  <si>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</si>
  <si>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</si>
  <si>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RESUMO EVM</t>
  </si>
  <si>
    <t>PV acumulado</t>
  </si>
  <si>
    <t>EV acumulado</t>
  </si>
  <si>
    <t>AC acumulado</t>
  </si>
  <si>
    <t>Indicadores ODS e Indicadores Discentes</t>
  </si>
  <si>
    <t>Cálculos consolidados para a Unidade 19</t>
  </si>
  <si>
    <t>Entrada 1</t>
  </si>
  <si>
    <t>Entrada 2</t>
  </si>
  <si>
    <t>Entrada 3</t>
  </si>
  <si>
    <t>Classificação/Nota</t>
  </si>
  <si>
    <t>I_9.3.1 — valor adicionado</t>
  </si>
  <si>
    <t>Nota normalizada 9.3.1</t>
  </si>
  <si>
    <t>I_12.b.1 — desempenho EVM</t>
  </si>
  <si>
    <t>Conformidade instrumentos</t>
  </si>
  <si>
    <t>I_17.18.1 — requisitos com ODS</t>
  </si>
  <si>
    <t>Eficiência discente</t>
  </si>
  <si>
    <t>Eficácia discente</t>
  </si>
  <si>
    <t>RESUMO PARA ENTREGA</t>
  </si>
  <si>
    <t>I_9.3.1</t>
  </si>
  <si>
    <t>I_12.b.1</t>
  </si>
  <si>
    <t>I_17.18.1</t>
  </si>
  <si>
    <t>Eficiência</t>
  </si>
  <si>
    <t>Eficácia</t>
  </si>
  <si>
    <t>Matriz de Evidências do Projeto</t>
  </si>
  <si>
    <t>Consolide links, arquivos e aceite; a entrega final deve permanecer arquivável</t>
  </si>
  <si>
    <t>Unidade/Prazo</t>
  </si>
  <si>
    <t>Link/Arquivo</t>
  </si>
  <si>
    <t>Institucional</t>
  </si>
  <si>
    <t>Termo de anuência do parceiro</t>
  </si>
  <si>
    <t>Iniciação</t>
  </si>
  <si>
    <t>Documento de requisitos com ODS/meta</t>
  </si>
  <si>
    <t>TAP assinado</t>
  </si>
  <si>
    <t>12</t>
  </si>
  <si>
    <t>Planejamento</t>
  </si>
  <si>
    <t>EAP/WBS</t>
  </si>
  <si>
    <t>17</t>
  </si>
  <si>
    <t>Orçamento e cotações</t>
  </si>
  <si>
    <t>RACI</t>
  </si>
  <si>
    <t>Execução</t>
  </si>
  <si>
    <t>Board Kanban / backlog</t>
  </si>
  <si>
    <t>Produto</t>
  </si>
  <si>
    <t>18</t>
  </si>
  <si>
    <t>MVP / repositório GitHub</t>
  </si>
  <si>
    <t>Relatório de teste com 3–5 usuários</t>
  </si>
  <si>
    <t>18-19</t>
  </si>
  <si>
    <t>Registro de mudanças</t>
  </si>
  <si>
    <t>Encerramento</t>
  </si>
  <si>
    <t>19</t>
  </si>
  <si>
    <t>Indicadores</t>
  </si>
  <si>
    <t>20</t>
  </si>
  <si>
    <t>Fotos/vídeos autorizados</t>
  </si>
  <si>
    <t>Encerramento do Projeto</t>
  </si>
  <si>
    <t>Aceite, resultados, lições aprendidas e continuidade</t>
  </si>
  <si>
    <t>AVALIAÇÃO DOS OBJETIVOS</t>
  </si>
  <si>
    <t>Objetivo</t>
  </si>
  <si>
    <t>Validação parceiro</t>
  </si>
  <si>
    <t>LIÇÕES APRENDIDAS</t>
  </si>
  <si>
    <t>O que aconteceu</t>
  </si>
  <si>
    <t>Impacto</t>
  </si>
  <si>
    <t>O que funcionou</t>
  </si>
  <si>
    <t>O que mudaríamos</t>
  </si>
  <si>
    <t>Ação futura</t>
  </si>
  <si>
    <t>ACEITE E CONTINUIDADE</t>
  </si>
  <si>
    <t>MVP aceito pelo parceiro?</t>
  </si>
  <si>
    <t>TRL alcançado</t>
  </si>
  <si>
    <t>Pendências conhecidas</t>
  </si>
  <si>
    <t>Recomendação de continuidade</t>
  </si>
  <si>
    <t>Responsável pela continuidade</t>
  </si>
  <si>
    <t>Termo de encerramento (link)</t>
  </si>
  <si>
    <t>Data do aceite</t>
  </si>
  <si>
    <t>Assinatura/validação parceiro</t>
  </si>
  <si>
    <t>Observação final</t>
  </si>
  <si>
    <t>DadosExternos_2</t>
  </si>
  <si>
    <t>updated</t>
  </si>
  <si>
    <t>assigneeAccountId</t>
  </si>
  <si>
    <t>id</t>
  </si>
  <si>
    <t>statusId</t>
  </si>
  <si>
    <t>link</t>
  </si>
  <si>
    <t>O diário operacional pode ficar no Jira; esta planilha consolida gestão, horas, indicadores e evidências. Jira_consulta é a consulta de leitura; o vínculo individual e os comandos de sincronização ficam na aba 9. Backlog-Sprints.</t>
  </si>
  <si>
    <t>Chave Jira</t>
  </si>
  <si>
    <t>URL Jira</t>
  </si>
  <si>
    <t>Status Jira (retorno)</t>
  </si>
  <si>
    <t>Último status sincronizado</t>
  </si>
  <si>
    <t>Ação de sincronização</t>
  </si>
  <si>
    <t>Última sincronização</t>
  </si>
  <si>
    <t>Resultado da sincronização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</si>
</sst>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&quot;R$ &quot;#,##0.00"/>
    <numFmt numFmtId="166" formatCode="0.0%"/>
  </numFmts>
  <fonts count="11" x14ac:knownFonts="1">
    <font>
      <sz val="11"/>
      <name val="Calibri"/>
      <charset val="1"/>
    </font>
    <font>
      <u/>
      <sz val="11"/>
      <color theme="10"/>
      <name val="Calibri"/>
      <charset val="1"/>
    </font>
    <font>
      <b/>
      <sz val="16"/>
      <color rgb="FFFFFFFF"/>
      <name val="Calibri"/>
      <charset val="1"/>
    </font>
    <font>
      <i/>
      <sz val="10"/>
      <color rgb="FF17365D"/>
      <name val="Calibri"/>
      <charset val="1"/>
    </font>
    <font>
      <b/>
      <sz val="11"/>
      <color rgb="FFFFFFFF"/>
      <name val="Calibri"/>
      <charset val="1"/>
    </font>
    <font>
      <sz val="11"/>
      <color rgb="FF0070C0"/>
      <name val="Calibri"/>
      <charset val="1"/>
    </font>
    <font>
      <b/>
      <sz val="10"/>
      <color rgb="FFFFFFFF"/>
      <name val="Calibri"/>
      <charset val="1"/>
    </font>
    <font>
      <sz val="11"/>
      <color rgb="FF0070C0"/>
      <name val="Calibri"/>
      <family val="2"/>
      <charset val="1"/>
    </font>
    <font>
      <b/>
      <sz val="11"/>
      <color rgb="FF17365D"/>
      <name val="Calibri"/>
      <charset val="1"/>
    </font>
    <font>
      <b/>
      <sz val="11"/>
      <name val="Calibri"/>
      <family val="2"/>
    </font>
    <font>
      <sz val="11"/>
      <color rgb="FF0070C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EAF3F8"/>
      </patternFill>
    </fill>
    <fill>
      <patternFill patternType="solid">
        <fgColor rgb="FF1F4E78"/>
        <bgColor rgb="FF156082"/>
      </patternFill>
    </fill>
    <fill>
      <patternFill patternType="solid">
        <fgColor rgb="FFFFFFFF"/>
        <bgColor rgb="FFEAF3F8"/>
      </patternFill>
    </fill>
    <fill>
      <patternFill patternType="solid">
        <fgColor rgb="FFFFF2CC"/>
        <bgColor rgb="FFEAF3F8"/>
      </patternFill>
    </fill>
    <fill>
      <patternFill patternType="solid">
        <fgColor rgb="FFEAF3F8"/>
        <bgColor rgb="FFD9EAF7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3">
    <xf numFmtId="0" fontId="0" fillId="0" borderId="0"/>
    <xf numFmtId="0" fontId="1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5" fillId="5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4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horizontal="left" vertical="top" wrapText="1"/>
    </xf>
    <xf numFmtId="0" fontId="1" fillId="5" borderId="1" xfId="1" applyFill="1" applyBorder="1" applyAlignment="1">
      <alignment vertical="top" wrapText="1"/>
    </xf>
    <xf numFmtId="164" fontId="0" fillId="0" borderId="0" xfId="0" applyNumberFormat="1"/>
    <xf numFmtId="0" fontId="5" fillId="6" borderId="0" xfId="0" applyFont="1" applyFill="1" applyAlignment="1">
      <alignment vertical="top" wrapText="1"/>
    </xf>
    <xf numFmtId="9" fontId="0" fillId="0" borderId="0" xfId="0" applyNumberFormat="1" applyAlignment="1">
      <alignment vertical="top" wrapText="1"/>
    </xf>
    <xf numFmtId="164" fontId="5" fillId="6" borderId="0" xfId="0" applyNumberFormat="1" applyFont="1" applyFill="1" applyAlignment="1">
      <alignment vertical="top" wrapText="1"/>
    </xf>
    <xf numFmtId="165" fontId="5" fillId="6" borderId="0" xfId="0" applyNumberFormat="1" applyFont="1" applyFill="1" applyAlignment="1">
      <alignment vertical="top" wrapText="1"/>
    </xf>
    <xf numFmtId="165" fontId="0" fillId="0" borderId="0" xfId="0" applyNumberFormat="1" applyAlignment="1">
      <alignment vertical="top" wrapText="1"/>
    </xf>
    <xf numFmtId="0" fontId="7" fillId="6" borderId="0" xfId="0" applyFont="1" applyFill="1" applyAlignment="1">
      <alignment vertical="top" wrapText="1"/>
    </xf>
    <xf numFmtId="1" fontId="5" fillId="6" borderId="0" xfId="0" applyNumberFormat="1" applyFont="1" applyFill="1" applyAlignment="1">
      <alignment vertical="top" wrapText="1"/>
    </xf>
    <xf numFmtId="1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0" fontId="8" fillId="7" borderId="0" xfId="0" applyFont="1" applyFill="1"/>
    <xf numFmtId="1" fontId="8" fillId="7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0" fontId="8" fillId="7" borderId="0" xfId="0" applyFont="1" applyFill="1" applyAlignment="1">
      <alignment wrapText="1"/>
    </xf>
    <xf numFmtId="9" fontId="8" fillId="7" borderId="0" xfId="0" applyNumberFormat="1" applyFont="1" applyFill="1" applyAlignment="1">
      <alignment wrapText="1"/>
    </xf>
    <xf numFmtId="166" fontId="8" fillId="7" borderId="0" xfId="0" applyNumberFormat="1" applyFont="1" applyFill="1" applyAlignment="1">
      <alignment wrapText="1"/>
    </xf>
    <xf numFmtId="2" fontId="8" fillId="7" borderId="0" xfId="0" applyNumberFormat="1" applyFont="1" applyFill="1"/>
    <xf numFmtId="2" fontId="0" fillId="0" borderId="0" xfId="0" applyNumberFormat="1"/>
    <xf numFmtId="164" fontId="5" fillId="8" borderId="1" xfId="0" applyNumberFormat="1" applyFont="1" applyFill="1" applyBorder="1" applyAlignment="1">
      <alignment horizontal="left" vertical="top" wrapText="1"/>
    </xf>
    <xf numFmtId="0" fontId="5" fillId="8" borderId="0" xfId="0" applyFont="1" applyFill="1" applyAlignment="1">
      <alignment vertical="top" wrapText="1"/>
    </xf>
    <xf numFmtId="165" fontId="5" fillId="8" borderId="0" xfId="0" applyNumberFormat="1" applyFont="1" applyFill="1" applyAlignment="1">
      <alignment vertical="top" wrapText="1"/>
    </xf>
    <xf numFmtId="164" fontId="5" fillId="8" borderId="0" xfId="0" applyNumberFormat="1" applyFont="1" applyFill="1" applyAlignment="1">
      <alignment vertical="top" wrapText="1"/>
    </xf>
    <xf numFmtId="1" fontId="5" fillId="8" borderId="0" xfId="0" applyNumberFormat="1" applyFont="1" applyFill="1" applyAlignment="1">
      <alignment vertical="top" wrapText="1"/>
    </xf>
    <xf numFmtId="0" fontId="9" fillId="0" borderId="0" xfId="0" applyFont="1"/>
    <xf numFmtId="0" fontId="10" fillId="5" borderId="1" xfId="0" applyFont="1" applyFill="1" applyBorder="1" applyAlignment="1">
      <alignment vertical="top" wrapText="1"/>
    </xf>
    <xf numFmtId="0" fontId="10" fillId="8" borderId="0" xfId="0" applyFont="1" applyFill="1" applyAlignment="1">
      <alignment vertical="top" wrapText="1"/>
    </xf>
    <xf numFmtId="0" fontId="10" fillId="6" borderId="0" xfId="0" applyFont="1" applyFill="1" applyAlignment="1">
      <alignment vertical="top" wrapText="1"/>
    </xf>
    <xf numFmtId="0" fontId="3" fillId="3" borderId="0" xfId="0" applyFont="1" applyFill="1" applyAlignment="1">
      <alignment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0" fontId="5" fillId="5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5" borderId="1" xfId="2" applyFill="1" applyBorder="1" applyAlignment="1">
      <alignment vertical="top" wrapText="1"/>
    </xf>
  </cellXfs>
  <cellStyles count="3">
    <cellStyle name="Hiperlink" xfId="2" builtinId="8"/>
    <cellStyle name="Hyperlink 1" xfId="1" xr:uid="{00000000-0005-0000-0000-000001000000}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B8B8B"/>
      <rgbColor rgb="FF9999FF"/>
      <rgbColor rgb="FF993366"/>
      <rgbColor rgb="FFFFF2CC"/>
      <rgbColor rgb="FFD9EAF7"/>
      <rgbColor rgb="FF660066"/>
      <rgbColor rgb="FFFF8080"/>
      <rgbColor rgb="FF0070C0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Backlog por status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spPr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Dashboard!$H$13:$H$17</c:f>
              <c:strCache>
                <c:ptCount val="5"/>
                <c:pt idx="0">
                  <c:v>Não iniciado</c:v>
                </c:pt>
                <c:pt idx="1">
                  <c:v>Em andamento</c:v>
                </c:pt>
                <c:pt idx="2">
                  <c:v>Aguardando parceiro</c:v>
                </c:pt>
                <c:pt idx="3">
                  <c:v>Concluído</c:v>
                </c:pt>
                <c:pt idx="4">
                  <c:v>Bloqueado</c:v>
                </c:pt>
              </c:strCache>
            </c:strRef>
          </c:cat>
          <c:val>
            <c:numRef>
              <c:f>Dashboard!$I$13:$I$17</c:f>
              <c:numCache>
                <c:formatCode>General</c:formatCode>
                <c:ptCount val="5"/>
                <c:pt idx="0">
                  <c:v>10</c:v>
                </c:pt>
                <c:pt idx="1">
                  <c:v>13</c:v>
                </c:pt>
                <c:pt idx="2">
                  <c:v>0</c:v>
                </c:pt>
                <c:pt idx="3">
                  <c:v>12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C-48C3-AF8A-D882E69CF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58023"/>
        <c:axId val="15334543"/>
      </c:barChart>
      <c:catAx>
        <c:axId val="1665802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5334543"/>
        <c:crosses val="autoZero"/>
        <c:auto val="1"/>
        <c:lblAlgn val="ctr"/>
        <c:lblOffset val="100"/>
        <c:noMultiLvlLbl val="0"/>
      </c:catAx>
      <c:valAx>
        <c:axId val="1533454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6658023"/>
        <c:crosses val="autoZero"/>
        <c:crossBetween val="between"/>
      </c:valAx>
    </c:plotArea>
    <c:plotVisOnly val="1"/>
    <c:dispBlanksAs val="zero"/>
    <c:showDLblsOverMax val="1"/>
  </c:chart>
  <c:spPr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14</xdr:col>
      <xdr:colOff>1080</xdr:colOff>
      <xdr:row>10</xdr:row>
      <xdr:rowOff>274680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C6834CF7-9394-49CD-8014-74940A8457FD}" autoFormatId="16" applyNumberFormats="0" applyBorderFormats="0" applyFontFormats="0" applyPatternFormats="0" applyAlignmentFormats="0" applyWidthHeightFormats="0">
  <queryTableRefresh nextId="11">
    <queryTableFields count="10">
      <queryTableField id="1" name="key" tableColumnId="1"/>
      <queryTableField id="2" name="summary" tableColumnId="2"/>
      <queryTableField id="3" name="status" tableColumnId="3"/>
      <queryTableField id="4" name="assignee" tableColumnId="4"/>
      <queryTableField id="5" name="created" tableColumnId="5"/>
      <queryTableField id="6" name="updated" tableColumnId="6"/>
      <queryTableField id="7" name="assigneeAccountId" tableColumnId="7"/>
      <queryTableField id="8" name="id" tableColumnId="8"/>
      <queryTableField id="9" name="statusId" tableColumnId="9"/>
      <queryTableField id="10" name="link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3FF41FCA-2758-48D2-B4CF-D2C3B38DCBC3}" autoFormatId="16" applyNumberFormats="0" applyBorderFormats="0" applyFontFormats="0" applyPatternFormats="0" applyAlignmentFormats="0" applyWidthHeightFormats="0">
  <queryTableRefresh nextId="11">
    <queryTableFields count="10">
      <queryTableField id="1" name="key"/>
      <queryTableField id="2" name="summary"/>
      <queryTableField id="3" name="status"/>
      <queryTableField id="4" name="assignee"/>
      <queryTableField id="5" name="created"/>
      <queryTableField id="6" name="updated"/>
      <queryTableField id="7" name="assigneeAccountId"/>
      <queryTableField id="8" name="id"/>
      <queryTableField id="9" name="statusId"/>
      <queryTableField id="10" name="link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firstBackgroundRefresh="1" connectionId="1" xr16:uid="{DAF8E6EE-70F5-4AE9-8D7D-BC2124A87AD9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49ED9-F872-484F-BB67-693350B28886}" name="Jira_teste_leitura" displayName="Jira_teste_leitura" ref="A1:J22" tableType="queryTable" totalsRowShown="0">
  <autoFilter ref="A1:J22" xr:uid="{30649ED9-F872-484F-BB67-693350B28886}"/>
  <tableColumns count="10">
    <tableColumn id="1" xr3:uid="{BBFCC674-9BB7-4FE5-AC40-C947CE3371B6}" uniqueName="1" name="key" queryTableFieldId="1" dataDxfId="9"/>
    <tableColumn id="2" xr3:uid="{8972E866-5278-4952-9D90-133A89EA2A37}" uniqueName="2" name="summary" queryTableFieldId="2" dataDxfId="8"/>
    <tableColumn id="3" xr3:uid="{39B71339-72C2-4141-9E9D-3131E3599044}" uniqueName="3" name="status" queryTableFieldId="3" dataDxfId="7"/>
    <tableColumn id="4" xr3:uid="{AC70D13B-97A0-48D6-AEED-2DEC81DC4253}" uniqueName="4" name="assignee" queryTableFieldId="4" dataDxfId="6"/>
    <tableColumn id="5" xr3:uid="{043ED078-A1E1-4EC8-8E6A-39ECBA2EBB6E}" uniqueName="5" name="created" queryTableFieldId="5" dataDxfId="5"/>
    <tableColumn id="6" xr3:uid="{1BB16B7A-EBC1-492A-BF03-32AD70851D83}" uniqueName="6" name="updated" queryTableFieldId="6" dataDxfId="4"/>
    <tableColumn id="7" xr3:uid="{D674F2A8-9D46-4965-815F-361E52FE4DA9}" uniqueName="7" name="assigneeAccountId" queryTableFieldId="7" dataDxfId="3"/>
    <tableColumn id="8" xr3:uid="{81D0A89D-F867-4B9C-A3DF-C70FEC5FA506}" uniqueName="8" name="id" queryTableFieldId="8" dataDxfId="2"/>
    <tableColumn id="9" xr3:uid="{6673A5CB-FBDB-4FC0-8677-F2DC09C08E59}" uniqueName="9" name="statusId" queryTableFieldId="9" dataDxfId="1"/>
    <tableColumn id="10" xr3:uid="{3FE3F8B1-5D20-4E8B-9CFF-A893A41C755B}" uniqueName="10" name="link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12B87C-8ABB-4805-9A16-E92FA9D52E60}">
  <we:reference id="wa200000556" version="1.1.0.0" store="pt-BR" storeType="OMEX"/>
  <we:alternateReferences>
    <we:reference id="wa200000556" version="1.1.0.0" store="wa200000556" storeType="OMEX"/>
  </we:alternateReferences>
  <we:properties>
    <we:property name="documentId" value="&quot;b2e05941-e715-4483-8f43-7b0629c6a35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2.xml.rels><?xml version='1.0' encoding='UTF-8' standalone='yes'?>
<Relationships xmlns="http://schemas.openxmlformats.org/package/2006/relationships"><Relationship Id="rId4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zoomScaleNormal="100" workbookViewId="0" tabSelected="1">
      <selection activeCell="C3" sqref="C3"/>
    </sheetView>
  </sheetViews>
  <sheetFormatPr defaultColWidth="8.7109375" defaultRowHeight="15" x14ac:dyDescent="0.25"/>
  <cols>
    <col min="1" max="1" width="22" customWidth="1"/>
    <col min="2" max="2" width="97.5703125" customWidth="1"/>
  </cols>
  <sheetData>
    <row r="1" spans="1:8" ht="30" customHeight="1" x14ac:dyDescent="0.25">
      <c r="A1" s="37" t="s">
        <v>37</v>
      </c>
      <c r="B1" s="36"/>
      <c r="C1" s="36"/>
      <c r="D1" s="36"/>
      <c r="E1" s="36"/>
      <c r="F1" s="36"/>
      <c r="G1" s="36"/>
      <c r="H1" s="36"/>
    </row>
    <row r="2" spans="1:8" ht="21.75" customHeight="1" x14ac:dyDescent="0.25">
      <c r="A2" s="35" t="s">
        <v>38</v>
      </c>
      <c r="B2" s="36"/>
      <c r="C2" s="36"/>
      <c r="D2" s="36"/>
      <c r="E2" s="36"/>
      <c r="F2" s="36"/>
      <c r="G2" s="36"/>
      <c r="H2" s="36"/>
    </row>
    <row r="4" spans="1:8" ht="21.75" customHeight="1" x14ac:dyDescent="0.25">
      <c r="A4" s="38" t="s">
        <v>39</v>
      </c>
      <c r="B4" s="36"/>
      <c r="C4" s="36"/>
      <c r="D4" s="36"/>
      <c r="E4" s="36"/>
      <c r="F4" s="36"/>
      <c r="G4" s="36"/>
      <c r="H4" s="36"/>
    </row>
    <row r="5" spans="1:8" ht="20.25" customHeight="1" x14ac:dyDescent="0.25">
      <c r="A5" s="2" t="s">
        <v>40</v>
      </c>
      <c r="B5" s="2" t="s">
        <v>41</v>
      </c>
    </row>
    <row r="6" spans="1:8" ht="24" customHeight="1" x14ac:dyDescent="0.25">
      <c r="A6" s="2" t="s">
        <v>42</v>
      </c>
      <c r="B6" s="2" t="s">
        <v>43</v>
      </c>
    </row>
    <row r="7" spans="1:8" x14ac:dyDescent="0.25">
      <c r="A7" s="2" t="s">
        <v>44</v>
      </c>
      <c r="B7" s="2" t="s">
        <v>45</v>
      </c>
    </row>
    <row r="8" spans="1:8" ht="30" customHeight="1" x14ac:dyDescent="0.25">
      <c r="A8" s="2" t="s">
        <v>46</v>
      </c>
      <c r="B8" s="2" t="s">
        <v>47</v>
      </c>
    </row>
    <row r="9" spans="1:8" ht="21.75" customHeight="1" x14ac:dyDescent="0.25">
      <c r="A9" s="2" t="s">
        <v>48</v>
      </c>
      <c r="B9" s="2" t="s">
        <v>49</v>
      </c>
    </row>
    <row r="10" spans="1:8" ht="13.5" customHeight="1" x14ac:dyDescent="0.25">
      <c r="A10" s="2" t="s">
        <v>50</v>
      </c>
      <c r="B10" s="2" t="s">
        <v>393</v>
      </c>
    </row>
    <row r="11" spans="1:8" x14ac:dyDescent="0.25">
      <c r="A11" s="2" t="s">
        <v>51</v>
      </c>
      <c r="B11" s="2" t="s">
        <v>52</v>
      </c>
    </row>
    <row r="13" spans="1:8" ht="21.75" customHeight="1" x14ac:dyDescent="0.25">
      <c r="A13" s="38" t="s">
        <v>53</v>
      </c>
      <c r="B13" s="36"/>
      <c r="C13" s="36"/>
      <c r="D13" s="36"/>
      <c r="E13" s="36"/>
      <c r="F13" s="36"/>
      <c r="G13" s="36"/>
      <c r="H13" s="36"/>
    </row>
    <row r="14" spans="1:8" x14ac:dyDescent="0.25">
      <c r="A14" s="2" t="s">
        <v>54</v>
      </c>
      <c r="B14" s="2" t="s">
        <v>55</v>
      </c>
    </row>
    <row r="15" spans="1:8" x14ac:dyDescent="0.25">
      <c r="A15" s="2" t="s">
        <v>56</v>
      </c>
      <c r="B15" s="2" t="s">
        <v>57</v>
      </c>
    </row>
    <row r="16" spans="1:8" x14ac:dyDescent="0.25">
      <c r="A16" s="2" t="s">
        <v>58</v>
      </c>
      <c r="B16" s="2" t="s">
        <v>59</v>
      </c>
    </row>
    <row r="17" spans="1:2" x14ac:dyDescent="0.25">
      <c r="A17" s="2" t="s">
        <v>60</v>
      </c>
      <c r="B17" s="2" t="s">
        <v>61</v>
      </c>
    </row>
    <row r="18" spans="1:2" x14ac:dyDescent="0.25">
      <c r="A18" s="2" t="s">
        <v>62</v>
      </c>
      <c r="B18" s="2" t="s">
        <v>63</v>
      </c>
    </row>
    <row r="19" spans="1:2" x14ac:dyDescent="0.25">
      <c r="A19" s="2" t="s">
        <v>64</v>
      </c>
      <c r="B19" s="2" t="s">
        <v>65</v>
      </c>
    </row>
    <row r="20" spans="1:2" x14ac:dyDescent="0.25">
      <c r="A20" s="2" t="s">
        <v>66</v>
      </c>
      <c r="B20" s="2" t="s">
        <v>67</v>
      </c>
    </row>
    <row r="21" spans="1:2" x14ac:dyDescent="0.25">
      <c r="A21" s="2" t="s">
        <v>68</v>
      </c>
      <c r="B21" s="2" t="s">
        <v>69</v>
      </c>
    </row>
    <row r="22" spans="1:2" x14ac:dyDescent="0.25">
      <c r="A22" s="2" t="s">
        <v>70</v>
      </c>
      <c r="B22" s="2" t="s">
        <v>71</v>
      </c>
    </row>
    <row r="23" spans="1:2" x14ac:dyDescent="0.25">
      <c r="A23" s="2" t="s">
        <v>72</v>
      </c>
      <c r="B23" s="2" t="s">
        <v>73</v>
      </c>
    </row>
    <row r="24" spans="1:2" x14ac:dyDescent="0.25">
      <c r="A24" s="2" t="s">
        <v>74</v>
      </c>
      <c r="B24" s="2" t="s">
        <v>75</v>
      </c>
    </row>
    <row r="25" spans="1:2" x14ac:dyDescent="0.25">
      <c r="A25" s="2" t="s">
        <v>76</v>
      </c>
      <c r="B25" s="2" t="s">
        <v>77</v>
      </c>
    </row>
    <row r="26" spans="1:2" x14ac:dyDescent="0.25">
      <c r="A26" s="2" t="s">
        <v>78</v>
      </c>
      <c r="B26" s="2" t="s">
        <v>79</v>
      </c>
    </row>
    <row r="27" spans="1:2" x14ac:dyDescent="0.25">
      <c r="A27" s="2" t="s">
        <v>80</v>
      </c>
      <c r="B27" s="2" t="s">
        <v>81</v>
      </c>
    </row>
    <row r="28" spans="1:2" x14ac:dyDescent="0.25">
      <c r="A28" s="2" t="s">
        <v>82</v>
      </c>
      <c r="B28" s="2" t="s">
        <v>83</v>
      </c>
    </row>
    <row r="29" spans="1:2" x14ac:dyDescent="0.25">
      <c r="A29" s="2" t="s">
        <v>84</v>
      </c>
      <c r="B29" s="2" t="s">
        <v>85</v>
      </c>
    </row>
    <row r="30" spans="1:2" x14ac:dyDescent="0.25">
      <c r="A30" s="2" t="s">
        <v>86</v>
      </c>
      <c r="B30" s="2" t="s">
        <v>87</v>
      </c>
    </row>
  </sheetData>
  <mergeCells count="4">
    <mergeCell ref="A4:H4"/>
    <mergeCell ref="A13:H13"/>
    <mergeCell ref="A2:H2"/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opLeftCell="A20" zoomScaleNormal="100" workbookViewId="0">
      <selection activeCell="B21" sqref="B21"/>
    </sheetView>
  </sheetViews>
  <sheetFormatPr defaultColWidth="8.7109375" defaultRowHeight="15" x14ac:dyDescent="0.25"/>
  <cols>
    <col min="1" max="1" width="28" customWidth="1"/>
    <col min="2" max="2" width="45" customWidth="1"/>
    <col min="3" max="3" width="24" customWidth="1"/>
    <col min="4" max="4" width="29.42578125" customWidth="1"/>
    <col min="5" max="5" width="44" customWidth="1"/>
    <col min="16384" max="16384" width="11.5703125" customWidth="1"/>
  </cols>
  <sheetData>
    <row r="1" spans="1:5" ht="30" customHeight="1" x14ac:dyDescent="0.25">
      <c r="A1" s="37" t="s">
        <v>93</v>
      </c>
      <c r="B1" s="36"/>
      <c r="C1" s="36"/>
      <c r="D1" s="36"/>
      <c r="E1" s="36"/>
    </row>
    <row r="2" spans="1:5" ht="21.75" customHeight="1" x14ac:dyDescent="0.25">
      <c r="A2" s="35" t="s">
        <v>94</v>
      </c>
      <c r="B2" s="36"/>
      <c r="C2" s="36"/>
      <c r="D2" s="36"/>
      <c r="E2" s="36"/>
    </row>
    <row r="4" spans="1:5" ht="21.75" customHeight="1" x14ac:dyDescent="0.25">
      <c r="A4" s="38" t="s">
        <v>95</v>
      </c>
      <c r="B4" s="36"/>
      <c r="C4" s="36"/>
      <c r="D4" s="36"/>
      <c r="E4" s="36"/>
    </row>
    <row r="5" spans="1:5" ht="27.75" customHeight="1" x14ac:dyDescent="0.25">
      <c r="A5" s="2" t="s">
        <v>96</v>
      </c>
      <c r="B5" s="1" t="inlineStr">
        <is>
          <t xml:space="preserve">PisoFácil</t>
        </is>
      </c>
      <c r="C5" s="3" t="s">
        <v>97</v>
      </c>
      <c r="D5" s="3" t="s">
        <v>98</v>
      </c>
      <c r="E5" s="3" t="s">
        <v>99</v>
      </c>
    </row>
    <row r="6" spans="1:5" x14ac:dyDescent="0.25">
      <c r="A6" s="2" t="s">
        <v>100</v>
      </c>
      <c r="B6" s="1" t="inlineStr">
        <is>
          <t xml:space="preserve">Equipe discente PisoFácil — Fatec São Roque (Sistemas para Internet, 4º semestre)</t>
        </is>
      </c>
      <c r="C6" s="2" t="inlineStr">
        <is>
          <t xml:space="preserve">Gerente do projeto</t>
        </is>
      </c>
      <c r="D6" s="1" t="inlineStr">
        <is>
          <t xml:space="preserve">Arthur Laranjeira</t>
        </is>
      </c>
      <c r="E6" s="2" t="inlineStr">
        <is>
          <t xml:space="preserve">Integrar planejamento, acompanhar cronograma, riscos, comunicação e evidências; relacionamento com o parceiro</t>
        </is>
      </c>
    </row>
    <row r="7" spans="1:5" ht="30" customHeight="1" x14ac:dyDescent="0.25">
      <c r="A7" s="2" t="s">
        <v>101</v>
      </c>
      <c r="B7" s="1" t="inlineStr">
        <is>
          <t xml:space="preserve">Daniel Laranjeira — Restauração de Pisos de Madeira (profissional autônomo, Ibiúna/SP)</t>
        </is>
      </c>
      <c r="C7" s="2" t="inlineStr">
        <is>
          <t xml:space="preserve">Produto/Protótipo</t>
        </is>
      </c>
      <c r="D7" s="1" t="inlineStr">
        <is>
          <t xml:space="preserve">Gabriel Candido</t>
        </is>
      </c>
      <c r="E7" s="2" t="inlineStr">
        <is>
          <t xml:space="preserve">Wireframe e protótipo da landing page; testes cross-browser</t>
        </is>
      </c>
    </row>
    <row r="8" spans="1:5" ht="30" customHeight="1" x14ac:dyDescent="0.25">
      <c r="A8" s="2" t="s">
        <v>102</v>
      </c>
      <c r="B8" s="4" t="inlineStr">
        <is>
          <t xml:space="preserve">Daniel Laranjeira (proprietário/autônomo); responsável de contato: Arthur Laranjeira</t>
        </is>
      </c>
      <c r="C8" s="2" t="inlineStr">
        <is>
          <t xml:space="preserve">Mercado e Negócio</t>
        </is>
      </c>
      <c r="D8" s="1" t="inlineStr">
        <is>
          <t xml:space="preserve">Lucas De Gois</t>
        </is>
      </c>
      <c r="E8" s="2" t="inlineStr">
        <is>
          <t xml:space="preserve">Mercado e negócio; estruturação do backlog de requisitos e tarefas</t>
        </is>
      </c>
    </row>
    <row r="9" spans="1:5" ht="30" customHeight="1" x14ac:dyDescent="0.25">
      <c r="A9" s="2" t="s">
        <v>103</v>
      </c>
      <c r="B9" s="1" t="inlineStr">
        <is>
          <t xml:space="preserve">Contato via Arthur Laranjeira (responsável de contato); reuniões presenciais em Ibiúna/SP</t>
        </is>
      </c>
      <c r="C9" s="2" t="inlineStr">
        <is>
          <t xml:space="preserve">Finanças</t>
        </is>
      </c>
      <c r="D9" s="1" t="inlineStr">
        <is>
          <t xml:space="preserve">João Lucas</t>
        </is>
      </c>
      <c r="E9" s="2" t="inlineStr">
        <is>
          <t xml:space="preserve">Orçamento de referência, ferramentas de custo zero e backlog de requisitos e tarefas</t>
        </is>
      </c>
    </row>
    <row r="10" spans="1:5" ht="30" customHeight="1" x14ac:dyDescent="0.25">
      <c r="A10" s="2" t="s">
        <v>104</v>
      </c>
      <c r="B10" s="4" t="inlineStr">
        <is>
          <t xml:space="preserve">Prof. Sandro Amâncio de Sá — Docente / Sponsor institucional / PMO (Fatec São Roque)</t>
        </is>
      </c>
      <c r="C10" s="2" t="inlineStr">
        <is>
          <t xml:space="preserve">Docente / Sponsor / PMO</t>
        </is>
      </c>
      <c r="D10" s="1" t="inlineStr">
        <is>
          <t xml:space="preserve">Prof. Sandro Amâncio de Sá</t>
        </is>
      </c>
      <c r="E10" s="2" t="inlineStr">
        <is>
          <t xml:space="preserve">Orientar, acompanhar a governança e aprovar mudanças acadêmicas</t>
        </is>
      </c>
    </row>
    <row r="11" spans="1:5" x14ac:dyDescent="0.25">
      <c r="A11" s="2" t="s">
        <v>105</v>
      </c>
      <c r="B11" s="1" t="inlineStr">
        <is>
          <t xml:space="preserve">Arthur Laranjeira</t>
        </is>
      </c>
    </row>
    <row r="12" spans="1:5" ht="45" customHeight="1" x14ac:dyDescent="0.25">
      <c r="A12" s="2" t="s">
        <v>106</v>
      </c>
      <c r="B12" s="1" t="inlineStr">
        <is>
          <t xml:space="preserve">Lucas De Gois; Gabriel Candido; João Lucas</t>
        </is>
      </c>
    </row>
    <row r="13" spans="1:5" x14ac:dyDescent="0.25">
      <c r="A13" s="2" t="s">
        <v>107</v>
      </c>
      <c r="B13" s="1" t="inlineStr">
        <is>
          <t xml:space="preserve">ODS 9;12;17</t>
        </is>
      </c>
    </row>
    <row r="14" spans="1:5" ht="79.5" customHeight="1" x14ac:dyDescent="0.25">
      <c r="A14" s="2" t="s">
        <v>108</v>
      </c>
      <c r="B14" s="4" t="inlineStr">
        <is>
          <t xml:space="preserve">9.c (OBJ-01, RF-01, RNF-01); 12.5 (OBJ-02, RF-02); 17.17 (OBJ-03, RF-03)</t>
        </is>
      </c>
    </row>
    <row r="15" spans="1:5" x14ac:dyDescent="0.25">
      <c r="A15" s="2" t="s">
        <v>109</v>
      </c>
      <c r="B15" s="5">
        <v>46252</v>
      </c>
    </row>
    <row r="16" spans="1:5" x14ac:dyDescent="0.25">
      <c r="A16" s="2" t="s">
        <v>110</v>
      </c>
      <c r="B16" s="5">
        <v>46341</v>
      </c>
    </row>
    <row r="17" spans="1:2" x14ac:dyDescent="0.25">
      <c r="A17" s="2" t="s">
        <v>111</v>
      </c>
      <c r="B17" s="6" t="inlineStr">
        <is>
          <t xml:space="preserve">Quadro Trello/Kanban (estruturação prevista para 01/09/2026)</t>
        </is>
      </c>
    </row>
    <row r="18" spans="1:2" x14ac:dyDescent="0.25">
      <c r="A18" s="2" t="s">
        <v>112</v>
      </c>
      <c r="B18" s="6" t="inlineStr">
        <is>
          <t xml:space="preserve">Pasta Google Drive — Repositório Documental do Projeto</t>
        </is>
      </c>
    </row>
    <row r="19" spans="1:2" ht="30" customHeight="1" x14ac:dyDescent="0.25">
      <c r="A19" s="2" t="s">
        <v>113</v>
      </c>
      <c r="B19" s="1" t="inlineStr">
        <is>
          <t xml:space="preserve">A definir — publicação prevista em plataforma gratuita (GitHub Pages / Vercel / Netlify)</t>
        </is>
      </c>
    </row>
    <row r="20" spans="1:2" ht="45" x14ac:dyDescent="0.25">
      <c r="A20" s="2" t="s">
        <v>114</v>
      </c>
      <c r="B20" s="47" t="inlineStr">
        <is>
          <t xml:space="preserve">Link Figma — wireframe/protótipo de baixa fidelidade (previsto para 05/09/2026)</t>
        </is>
      </c>
    </row>
    <row r="21" spans="1:2" x14ac:dyDescent="0.25">
      <c r="A21" s="2" t="s">
        <v>115</v>
      </c>
      <c r="B21" s="1" t="inlineStr">
        <is>
          <t xml:space="preserve">MVP/testes previsto para 20/10/2026 — publicação com domínio temporário gratuito</t>
        </is>
      </c>
    </row>
  </sheetData>
  <mergeCells count="3">
    <mergeCell ref="A2:E2"/>
    <mergeCell ref="A1:E1"/>
    <mergeCell ref="A4:E4"/>
  </mergeCells>
  <dataValidations count="1">
    <dataValidation type="list" sqref="B13" xr:uid="{00000000-0002-0000-0200-000000000000}">
      <formula1>"ODS 9,ODS 12,ODS 17,ODS 9;12,ODS 9;17,ODS 12;17,ODS 9;12;17,Não aplicável"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topLeftCell="A30" zoomScaleNormal="100" workbookViewId="0">
      <selection activeCell="D31" sqref="D31"/>
    </sheetView>
  </sheetViews>
  <sheetFormatPr defaultColWidth="8.7109375" defaultRowHeight="15" x14ac:dyDescent="0.25"/>
  <cols>
    <col min="1" max="1" width="20.85546875" customWidth="1"/>
    <col min="2" max="2" width="34" customWidth="1"/>
    <col min="3" max="3" width="28" customWidth="1"/>
    <col min="4" max="5" width="18" customWidth="1"/>
    <col min="6" max="6" width="20" customWidth="1"/>
    <col min="7" max="7" width="32" customWidth="1"/>
  </cols>
  <sheetData>
    <row r="1" spans="1:7" ht="30" customHeight="1" x14ac:dyDescent="0.25">
      <c r="A1" s="37" t="s">
        <v>116</v>
      </c>
      <c r="B1" s="36"/>
      <c r="C1" s="36"/>
      <c r="D1" s="36"/>
      <c r="E1" s="36"/>
      <c r="F1" s="36"/>
      <c r="G1" s="36"/>
    </row>
    <row r="2" spans="1:7" ht="21.75" customHeight="1" x14ac:dyDescent="0.25">
      <c r="A2" s="35" t="s">
        <v>117</v>
      </c>
      <c r="B2" s="36"/>
      <c r="C2" s="36"/>
      <c r="D2" s="36"/>
      <c r="E2" s="36"/>
      <c r="F2" s="36"/>
      <c r="G2" s="36"/>
    </row>
    <row r="4" spans="1:7" ht="21.75" customHeight="1" x14ac:dyDescent="0.25">
      <c r="A4" s="38" t="s">
        <v>118</v>
      </c>
      <c r="B4" s="36"/>
      <c r="C4" s="36"/>
      <c r="D4" s="36"/>
      <c r="E4" s="36"/>
      <c r="F4" s="36"/>
      <c r="G4" s="36"/>
    </row>
    <row r="5" spans="1:7" ht="30" customHeight="1" x14ac:dyDescent="0.25">
      <c r="A5" s="39" t="inlineStr">
        <is>
          <t xml:space="preserve">Problema: embora o profissional autônomo Daniel Laranjeira já possua demanda ativa no segmento especializado de restauração e revitalização de pisos de madeira, sua atuação carece de canais digitais oficiais de divulgação e apresentação. A necessidade é ampliar a visibilidade de mercado e profissionalizar a vitrine dos serviços em Ibiúna e região, para que proprietários de residências, sítios e chácaras encontrem o trabalho na internet e vejam a qualidade técnica das restaurações. Evidências: reunião diagnóstica presencial, inexistência de portfólio visual digital, ausência de catálogo online com fotos de antes/depois. Problema confirmado pelo parceiro. Justificativa: a restauração de pisos de madeira nobre evita o descarte desnecessário de matéria-prima (economia circular e consumo sustentável); uma presença digital moderna fortalece a autoridade técnica do profissional e facilita a demonstração de projetos anteriores. Benefício esperado: maior visibilidade da marca, canal direto via WhatsApp, valorização do trabalho técnico local e facilidade para donos de imóveis encontrarem mão de obra qualificada na região.</t>
        </is>
      </c>
      <c r="B5" s="40"/>
      <c r="C5" s="40"/>
      <c r="D5" s="40"/>
      <c r="E5" s="40"/>
      <c r="F5" s="40"/>
      <c r="G5" s="41"/>
    </row>
    <row r="6" spans="1:7" ht="30" customHeight="1" x14ac:dyDescent="0.25">
      <c r="A6" s="42"/>
      <c r="B6" s="36"/>
      <c r="C6" s="36"/>
      <c r="D6" s="36"/>
      <c r="E6" s="36"/>
      <c r="F6" s="36"/>
      <c r="G6" s="43"/>
    </row>
    <row r="7" spans="1:7" ht="30" customHeight="1" x14ac:dyDescent="0.25">
      <c r="A7" s="42"/>
      <c r="B7" s="36"/>
      <c r="C7" s="36"/>
      <c r="D7" s="36"/>
      <c r="E7" s="36"/>
      <c r="F7" s="36"/>
      <c r="G7" s="43"/>
    </row>
    <row r="8" spans="1:7" ht="30" customHeight="1" x14ac:dyDescent="0.25">
      <c r="A8" s="44"/>
      <c r="B8" s="45"/>
      <c r="C8" s="45"/>
      <c r="D8" s="45"/>
      <c r="E8" s="45"/>
      <c r="F8" s="45"/>
      <c r="G8" s="46"/>
    </row>
    <row r="10" spans="1:7" ht="21.75" customHeight="1" x14ac:dyDescent="0.25">
      <c r="A10" s="38" t="s">
        <v>119</v>
      </c>
      <c r="B10" s="36"/>
      <c r="C10" s="36"/>
      <c r="D10" s="36"/>
      <c r="E10" s="36"/>
      <c r="F10" s="36"/>
      <c r="G10" s="36"/>
    </row>
    <row r="11" spans="1:7" ht="30" customHeight="1" x14ac:dyDescent="0.25">
      <c r="A11" s="39" t="inlineStr">
        <is>
          <t xml:space="preserve">PisoFácil: landing page responsiva de apresentação profissional (Home, Sobre, Serviços, Galeria, Contato), com galeria interativa 'Antes e Depois', botões de CTA para o WhatsApp comercial, SEO básico local (Ibiúna e região) e hospedagem do MVP em ambiente web acessível. Nível: protótipo/MVP acadêmico validado em ambiente controlado ou de homologação. Fora do escopo: agendamento online automatizado com painel administrativo, pagamento/checkout ou e-commerce, gestão de anúncios pagos (Google Ads / Meta Ads) e aplicativo nativo (Android/iOS). Orçamento de referência: R$ 0,00.</t>
        </is>
      </c>
      <c r="B11" s="40"/>
      <c r="C11" s="40"/>
      <c r="D11" s="40"/>
      <c r="E11" s="40"/>
      <c r="F11" s="40"/>
      <c r="G11" s="41"/>
    </row>
    <row r="12" spans="1:7" ht="30" customHeight="1" x14ac:dyDescent="0.25">
      <c r="A12" s="42"/>
      <c r="B12" s="36"/>
      <c r="C12" s="36"/>
      <c r="D12" s="36"/>
      <c r="E12" s="36"/>
      <c r="F12" s="36"/>
      <c r="G12" s="43"/>
    </row>
    <row r="13" spans="1:7" ht="30" customHeight="1" x14ac:dyDescent="0.25">
      <c r="A13" s="42"/>
      <c r="B13" s="36"/>
      <c r="C13" s="36"/>
      <c r="D13" s="36"/>
      <c r="E13" s="36"/>
      <c r="F13" s="36"/>
      <c r="G13" s="43"/>
    </row>
    <row r="14" spans="1:7" ht="30" customHeight="1" x14ac:dyDescent="0.25">
      <c r="A14" s="44"/>
      <c r="B14" s="45"/>
      <c r="C14" s="45"/>
      <c r="D14" s="45"/>
      <c r="E14" s="45"/>
      <c r="F14" s="45"/>
      <c r="G14" s="46"/>
    </row>
    <row r="16" spans="1:7" ht="21.75" customHeight="1" x14ac:dyDescent="0.25">
      <c r="A16" s="38" t="s">
        <v>120</v>
      </c>
      <c r="B16" s="36"/>
      <c r="C16" s="36"/>
      <c r="D16" s="36"/>
      <c r="E16" s="36"/>
      <c r="F16" s="36"/>
      <c r="G16" s="36"/>
    </row>
    <row r="17" spans="1:7" ht="27.75" customHeight="1" x14ac:dyDescent="0.25">
      <c r="A17" s="3" t="s">
        <v>121</v>
      </c>
      <c r="B17" s="3" t="s">
        <v>122</v>
      </c>
      <c r="C17" s="3" t="s">
        <v>16</v>
      </c>
      <c r="D17" s="3" t="s">
        <v>123</v>
      </c>
      <c r="E17" s="3" t="s">
        <v>7</v>
      </c>
      <c r="F17" s="3" t="s">
        <v>124</v>
      </c>
      <c r="G17" s="3" t="s">
        <v>125</v>
      </c>
    </row>
    <row r="18" spans="1:7" ht="60" customHeight="1" x14ac:dyDescent="0.25">
      <c r="A18" s="2">
        <v>1</v>
      </c>
      <c r="B18" s="1" t="inlineStr">
        <is>
          <t xml:space="preserve">OBJ-01 — Desenvolver e publicar uma landing page responsiva de divulgação do serviço até o encerramento do semestre</t>
        </is>
      </c>
      <c r="C18" s="1" t="inlineStr">
        <is>
          <t xml:space="preserve">Site publicado, 100% responsivo e com carregamento em menos de 3 s</t>
        </is>
      </c>
      <c r="D18" s="1" t="inlineStr">
        <is>
          <t xml:space="preserve">Sem canais digitais oficiais de divulgação</t>
        </is>
      </c>
      <c r="E18" s="1" t="inlineStr">
        <is>
          <t xml:space="preserve">Site publicado e responsivo, carregando em &lt; 3 s</t>
        </is>
      </c>
      <c r="F18" s="1" t="inlineStr">
        <is>
          <t xml:space="preserve">Encerramento — 15/11/2026</t>
        </is>
      </c>
      <c r="G18" s="1" t="inlineStr">
        <is>
          <t xml:space="preserve">ODS 9 (9.c)</t>
        </is>
      </c>
    </row>
    <row r="19" spans="1:7" ht="60" customHeight="1" x14ac:dyDescent="0.25">
      <c r="A19" s="2">
        <v>2</v>
      </c>
      <c r="B19" s="1" t="inlineStr">
        <is>
          <t xml:space="preserve">OBJ-02 — Criar catálogo interativo com no mínimo 6 projetos de restauro (antes e depois)</t>
        </is>
      </c>
      <c r="C19" s="1" t="inlineStr">
        <is>
          <t xml:space="preserve">Galeria funcional e aprovada pelo parceiro no teste de usabilidade</t>
        </is>
      </c>
      <c r="D19" s="1" t="inlineStr">
        <is>
          <t xml:space="preserve">Sem portfólio visual digital nem catálogo de antes/depois</t>
        </is>
      </c>
      <c r="E19" s="1" t="inlineStr">
        <is>
          <t xml:space="preserve">Galeria com ≥ 6 projetos aprovada pelo parceiro</t>
        </is>
      </c>
      <c r="F19" s="1" t="inlineStr">
        <is>
          <t xml:space="preserve">MVP/testes — 20/10/2026</t>
        </is>
      </c>
      <c r="G19" s="1" t="inlineStr">
        <is>
          <t xml:space="preserve">ODS 12 (12.5)</t>
        </is>
      </c>
    </row>
    <row r="20" spans="1:7" ht="60" customHeight="1" x14ac:dyDescent="0.25">
      <c r="A20" s="2">
        <v>3</v>
      </c>
      <c r="B20" s="1" t="inlineStr">
        <is>
          <t xml:space="preserve">OBJ-03 — Estruturar canal ágil de captação comercial integrado diretamente ao WhatsApp</t>
        </is>
      </c>
      <c r="C20" s="1" t="inlineStr">
        <is>
          <t xml:space="preserve">Taxa de acionamento do CTA/WhatsApp nos testes de clique</t>
        </is>
      </c>
      <c r="D20" s="1" t="inlineStr">
        <is>
          <t xml:space="preserve">Sem canal digital de captação</t>
        </is>
      </c>
      <c r="E20" s="1" t="inlineStr">
        <is>
          <t xml:space="preserve">CTA/WhatsApp validado em 100% dos testes de clique</t>
        </is>
      </c>
      <c r="F20" s="1" t="inlineStr">
        <is>
          <t xml:space="preserve">MVP/testes — 20/10/2026</t>
        </is>
      </c>
      <c r="G20" s="1" t="inlineStr">
        <is>
          <t xml:space="preserve">ODS 17 (17.17)</t>
        </is>
      </c>
    </row>
    <row r="21" spans="1:7" ht="60" customHeight="1" x14ac:dyDescent="0.25">
      <c r="A21" s="2">
        <v>4</v>
      </c>
      <c r="B21" s="1"/>
      <c r="C21" s="1"/>
      <c r="D21" s="1"/>
      <c r="E21" s="1"/>
      <c r="F21" s="1"/>
      <c r="G21" s="1"/>
    </row>
    <row r="22" spans="1:7" ht="45.75" customHeight="1" x14ac:dyDescent="0.25">
      <c r="A22" s="2">
        <v>5</v>
      </c>
      <c r="B22" s="1"/>
      <c r="C22" s="1"/>
      <c r="D22" s="1"/>
      <c r="E22" s="1"/>
      <c r="F22" s="1"/>
      <c r="G22" s="1"/>
    </row>
    <row r="23" spans="1:7" ht="60" customHeight="1" x14ac:dyDescent="0.25">
      <c r="A23" s="2">
        <v>6</v>
      </c>
      <c r="B23" s="1"/>
      <c r="C23" s="1"/>
      <c r="D23" s="1"/>
      <c r="E23" s="1"/>
      <c r="F23" s="1"/>
      <c r="G23" s="1"/>
    </row>
    <row r="25" spans="1:7" ht="21.75" customHeight="1" x14ac:dyDescent="0.25">
      <c r="A25" s="38" t="s">
        <v>126</v>
      </c>
      <c r="B25" s="36"/>
      <c r="C25" s="36"/>
      <c r="D25" s="36"/>
      <c r="E25" s="36"/>
      <c r="F25" s="36"/>
      <c r="G25" s="36"/>
    </row>
    <row r="26" spans="1:7" ht="27.75" customHeight="1" x14ac:dyDescent="0.25">
      <c r="A26" s="3" t="s">
        <v>127</v>
      </c>
      <c r="B26" s="3" t="s">
        <v>128</v>
      </c>
      <c r="C26" s="3" t="s">
        <v>129</v>
      </c>
      <c r="D26" s="3" t="s">
        <v>130</v>
      </c>
      <c r="E26" s="3" t="s">
        <v>22</v>
      </c>
      <c r="F26" s="3" t="s">
        <v>131</v>
      </c>
      <c r="G26" s="3" t="s">
        <v>21</v>
      </c>
    </row>
    <row r="27" spans="1:7" ht="73.5" customHeight="1" x14ac:dyDescent="0.25">
      <c r="A27" s="2" t="inlineStr">
        <is>
          <t xml:space="preserve">Premissa</t>
        </is>
      </c>
      <c r="B27" s="1" t="inlineStr">
        <is>
          <t xml:space="preserve">O parceiro fornecerá fotos de boa qualidade das obras anteriores para compor a galeria.</t>
        </is>
      </c>
      <c r="C27" s="1" t="inlineStr">
        <is>
          <t xml:space="preserve">Galeria incompleta e atraso no protótipo</t>
        </is>
      </c>
      <c r="D27" s="32" t="inlineStr">
        <is>
          <t xml:space="preserve">Arthur Laranjeira / Daniel Laranjeira</t>
        </is>
      </c>
      <c r="E27" s="1"/>
      <c r="F27" s="1" t="inlineStr">
        <is>
          <t xml:space="preserve">Ata de Validação de Escopo e TAP v1.2 (18/08/2026)</t>
        </is>
      </c>
      <c r="G27" s="4" t="inlineStr">
        <is>
          <t xml:space="preserve">Coleta inicial de fotos prevista para 25/08/2026</t>
        </is>
      </c>
    </row>
    <row r="28" spans="1:7" ht="73.5" customHeight="1" x14ac:dyDescent="0.25">
      <c r="A28" s="2" t="inlineStr">
        <is>
          <t xml:space="preserve">Premissa</t>
        </is>
      </c>
      <c r="B28" s="4" t="inlineStr">
        <is>
          <t xml:space="preserve">O canal de atendimento via WhatsApp será operado continuamente pelo profissional.</t>
        </is>
      </c>
      <c r="C28" s="1" t="inlineStr">
        <is>
          <t xml:space="preserve">Contatos gerados pelo site sem resposta</t>
        </is>
      </c>
      <c r="D28" s="4" t="inlineStr">
        <is>
          <t xml:space="preserve">Daniel Laranjeira</t>
        </is>
      </c>
      <c r="E28" s="1"/>
      <c r="F28" s="1" t="inlineStr">
        <is>
          <t xml:space="preserve">Ata de Validação de Escopo e TAP v1.2 (18/08/2026)</t>
        </is>
      </c>
      <c r="G28" s="1"/>
    </row>
    <row r="29" spans="1:7" ht="31.5" customHeight="1" x14ac:dyDescent="0.25">
      <c r="A29" s="2" t="inlineStr">
        <is>
          <t xml:space="preserve">Restrição</t>
        </is>
      </c>
      <c r="B29" s="4" t="inlineStr">
        <is>
          <t xml:space="preserve">Prazo estrito delimitado pelo calendário acadêmico do 2º semestre letivo de 2026.</t>
        </is>
      </c>
      <c r="C29" s="1"/>
      <c r="D29" s="32" t="inlineStr">
        <is>
          <t xml:space="preserve">Equipe discente</t>
        </is>
      </c>
      <c r="E29" s="1"/>
      <c r="F29" s="1" t="inlineStr">
        <is>
          <t xml:space="preserve">Ata de Validação de Escopo e TAP v1.2 (18/08/2026)</t>
        </is>
      </c>
      <c r="G29" s="1" t="inlineStr">
        <is>
          <t xml:space="preserve">Encerramento previsto para 15/11/2026</t>
        </is>
      </c>
    </row>
    <row r="30" spans="1:7" ht="45.75" customHeight="1" x14ac:dyDescent="0.25">
      <c r="A30" s="2" t="inlineStr">
        <is>
          <t xml:space="preserve">Restrição</t>
        </is>
      </c>
      <c r="B30" s="1" t="inlineStr">
        <is>
          <t xml:space="preserve">Uso de ferramentas gratuitas ou de custo zero para prototipação e hospedagem inicial.</t>
        </is>
      </c>
      <c r="C30" s="1"/>
      <c r="D30" s="1" t="inlineStr">
        <is>
          <t xml:space="preserve">João Lucas</t>
        </is>
      </c>
      <c r="E30" s="1"/>
      <c r="F30" s="1" t="inlineStr">
        <is>
          <t xml:space="preserve">Ata de Validação de Escopo e TAP v1.2 (18/08/2026)</t>
        </is>
      </c>
      <c r="G30" s="1" t="inlineStr">
        <is>
          <t xml:space="preserve">Orçamento de referência: R$ 0,00</t>
        </is>
      </c>
    </row>
    <row r="31" spans="1:7" ht="73.5" customHeight="1" x14ac:dyDescent="0.25">
      <c r="A31" s="2" t="inlineStr">
        <is>
          <t xml:space="preserve">Restrição</t>
        </is>
      </c>
      <c r="B31" s="1" t="inlineStr">
        <is>
          <t xml:space="preserve">Mudanças relevantes em escopo, prazo, custo, qualidade ou entregas somente via solicitação de mudança, dentro dos limites TRL 4–5.</t>
        </is>
      </c>
      <c r="C31" s="1"/>
      <c r="D31" s="1" t="inlineStr">
        <is>
          <t xml:space="preserve">Arthur Laranjeira / Prof. Sandro Amâncio de Sá</t>
        </is>
      </c>
      <c r="E31" s="1"/>
      <c r="F31" s="1" t="inlineStr">
        <is>
          <t xml:space="preserve">Ata de Validação de Escopo e TAP v1.2 (18/08/2026)</t>
        </is>
      </c>
      <c r="G31" s="1" t="inlineStr">
        <is>
          <t xml:space="preserve">Baixo impacto: aprovação do gerente; impacto em escopo/prazo/entregas: ciência do parceiro e aprovação do docente/PMO</t>
        </is>
      </c>
    </row>
    <row r="32" spans="1:7" ht="31.5" customHeight="1" x14ac:dyDescent="0.25">
      <c r="A32" s="2"/>
      <c r="B32" s="1"/>
      <c r="C32" s="1"/>
      <c r="D32" s="1"/>
      <c r="E32" s="1"/>
      <c r="F32" s="1"/>
      <c r="G32" s="1"/>
    </row>
    <row r="34" spans="1:7" ht="21.75" customHeight="1" x14ac:dyDescent="0.25">
      <c r="A34" s="38" t="s">
        <v>132</v>
      </c>
      <c r="B34" s="36"/>
      <c r="C34" s="36"/>
      <c r="D34" s="36"/>
      <c r="E34" s="36"/>
      <c r="F34" s="36"/>
      <c r="G34" s="36"/>
    </row>
    <row r="35" spans="1:7" ht="27.75" customHeight="1" x14ac:dyDescent="0.25">
      <c r="A35" s="3" t="s">
        <v>121</v>
      </c>
      <c r="B35" s="3" t="s">
        <v>133</v>
      </c>
      <c r="C35" s="3" t="s">
        <v>134</v>
      </c>
      <c r="D35" s="3" t="s">
        <v>135</v>
      </c>
      <c r="E35" s="3" t="s">
        <v>136</v>
      </c>
      <c r="F35" s="3" t="s">
        <v>22</v>
      </c>
      <c r="G35" s="3" t="s">
        <v>137</v>
      </c>
    </row>
    <row r="36" spans="1:7" ht="75" customHeight="1" x14ac:dyDescent="0.25">
      <c r="A36" s="2">
        <v>1</v>
      </c>
      <c r="B36" s="2" t="inlineStr">
        <is>
          <t xml:space="preserve">Parceria aceita formalmente</t>
        </is>
      </c>
      <c r="C36" s="2" t="inlineStr">
        <is>
          <t xml:space="preserve">Parceiro consultado presencialmente e aceite registrado</t>
        </is>
      </c>
      <c r="D36" s="5"/>
      <c r="E36" s="5">
        <v>46252</v>
      </c>
      <c r="F36" s="1" t="inlineStr">
        <is>
          <t xml:space="preserve">Concluído</t>
        </is>
      </c>
      <c r="G36" s="4" t="inlineStr">
        <is>
          <t xml:space="preserve">Diário de bordo — Entrada 2</t>
        </is>
      </c>
    </row>
    <row r="37" spans="1:7" ht="60" customHeight="1" x14ac:dyDescent="0.25">
      <c r="A37" s="2">
        <v>2</v>
      </c>
      <c r="B37" s="2" t="inlineStr">
        <is>
          <t xml:space="preserve">Reunião de diagnóstico com o parceiro</t>
        </is>
      </c>
      <c r="C37" s="2" t="inlineStr">
        <is>
          <t xml:space="preserve">Problema e necessidade confirmados</t>
        </is>
      </c>
      <c r="D37" s="5"/>
      <c r="E37" s="7">
        <v>46252</v>
      </c>
      <c r="F37" s="1" t="inlineStr">
        <is>
          <t xml:space="preserve">Concluído</t>
        </is>
      </c>
      <c r="G37" s="4" t="inlineStr">
        <is>
          <t xml:space="preserve">Diário de bordo — Entrada 2</t>
        </is>
      </c>
    </row>
    <row r="38" spans="1:7" ht="60" customHeight="1" x14ac:dyDescent="0.25">
      <c r="A38" s="2">
        <v>3</v>
      </c>
      <c r="B38" s="2" t="inlineStr">
        <is>
          <t xml:space="preserve">TAP v1.2 e linha de base aprovados</t>
        </is>
      </c>
      <c r="C38" s="2" t="inlineStr">
        <is>
          <t xml:space="preserve">Ata de validação de escopo aprovada</t>
        </is>
      </c>
      <c r="D38" s="5"/>
      <c r="E38" s="7">
        <v>46252</v>
      </c>
      <c r="F38" s="1" t="inlineStr">
        <is>
          <t xml:space="preserve">Concluído</t>
        </is>
      </c>
      <c r="G38" s="4" t="inlineStr">
        <is>
          <t xml:space="preserve">Ata de Validação de Escopo e TAP — APROVADO, sem ressalvas</t>
        </is>
      </c>
    </row>
    <row r="39" spans="1:7" x14ac:dyDescent="0.25">
      <c r="A39" s="2">
        <v>4</v>
      </c>
      <c r="B39" s="2" t="inlineStr">
        <is>
          <t xml:space="preserve">Planejamento consolidado</t>
        </is>
      </c>
      <c r="C39" s="2" t="inlineStr">
        <is>
          <t xml:space="preserve">TAP, escopo, cronograma e riscos aprovados</t>
        </is>
      </c>
      <c r="D39" s="26">
        <v>46253</v>
      </c>
      <c r="E39" s="5"/>
      <c r="F39" s="1"/>
      <c r="G39" s="1"/>
    </row>
    <row r="40" spans="1:7" x14ac:dyDescent="0.25">
      <c r="A40" s="2">
        <v>5</v>
      </c>
      <c r="B40" s="2" t="inlineStr">
        <is>
          <t xml:space="preserve">Protótipo validado</t>
        </is>
      </c>
      <c r="C40" s="2" t="inlineStr">
        <is>
          <t xml:space="preserve">Feedback do parceiro registrado sobre o layout da landing page</t>
        </is>
      </c>
      <c r="D40" s="26">
        <v>46280</v>
      </c>
      <c r="E40" s="5"/>
      <c r="F40" s="1"/>
      <c r="G40" s="1" t="inlineStr">
        <is>
          <t xml:space="preserve">Reunião prevista para 12/09/2026 (Diário — Entrada 4, a confirmar)</t>
        </is>
      </c>
    </row>
    <row r="41" spans="1:7" ht="34.5" customHeight="1" x14ac:dyDescent="0.25">
      <c r="A41" s="2">
        <v>6</v>
      </c>
      <c r="B41" s="2" t="inlineStr">
        <is>
          <t xml:space="preserve">MVP / testes</t>
        </is>
      </c>
      <c r="C41" s="2" t="inlineStr">
        <is>
          <t xml:space="preserve">Testes funcionais, de usabilidade e links do WhatsApp testados</t>
        </is>
      </c>
      <c r="D41" s="26">
        <v>46315</v>
      </c>
      <c r="E41" s="5"/>
      <c r="F41" s="1"/>
      <c r="G41" s="1"/>
    </row>
    <row r="42" spans="1:7" ht="30" customHeight="1" x14ac:dyDescent="0.25">
      <c r="A42" s="2">
        <v>7</v>
      </c>
      <c r="B42" s="2" t="inlineStr">
        <is>
          <t xml:space="preserve">Encerramento</t>
        </is>
      </c>
      <c r="C42" s="2" t="inlineStr">
        <is>
          <t xml:space="preserve">Aceite/encerramento assinado pelo parceiro e entrega acadêmica</t>
        </is>
      </c>
      <c r="D42" s="26">
        <v>46341</v>
      </c>
      <c r="E42" s="5"/>
      <c r="F42" s="1"/>
      <c r="G42" s="1"/>
    </row>
    <row r="43" spans="1:7" x14ac:dyDescent="0.25">
      <c r="A43" s="2">
        <v>8</v>
      </c>
      <c r="B43" s="2"/>
      <c r="C43" s="2"/>
      <c r="D43" s="26"/>
      <c r="E43" s="5"/>
      <c r="F43" s="1"/>
      <c r="G43" s="1"/>
    </row>
  </sheetData>
  <mergeCells count="9">
    <mergeCell ref="A1:G1"/>
    <mergeCell ref="A34:G34"/>
    <mergeCell ref="A4:G4"/>
    <mergeCell ref="A2:G2"/>
    <mergeCell ref="A16:G16"/>
    <mergeCell ref="A11:G14"/>
    <mergeCell ref="A25:G25"/>
    <mergeCell ref="A5:G8"/>
    <mergeCell ref="A10:G10"/>
  </mergeCells>
  <dataValidations count="1">
    <dataValidation type="list" sqref="E27:E32 F36:F43" xr:uid="{00000000-0002-0000-0300-000000000000}">
      <formula1>"Não iniciado,Em andamento,Aguardando parceiro,Em validação,Concluído,Bloqueado"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zoomScaleNormal="100" workbookViewId="0">
      <selection activeCell="B6" sqref="B6"/>
    </sheetView>
  </sheetViews>
  <sheetFormatPr defaultColWidth="8.7109375" defaultRowHeight="15" x14ac:dyDescent="0.25"/>
  <cols>
    <col min="1" max="1" width="11" customWidth="1"/>
    <col min="2" max="2" width="26" customWidth="1"/>
    <col min="3" max="3" width="24" customWidth="1"/>
    <col min="4" max="4" width="32" customWidth="1"/>
    <col min="5" max="6" width="12" customWidth="1"/>
    <col min="7" max="7" width="14" customWidth="1"/>
    <col min="8" max="8" width="40" customWidth="1"/>
    <col min="9" max="9" width="22" customWidth="1"/>
    <col min="10" max="10" width="28" customWidth="1"/>
  </cols>
  <sheetData>
    <row r="1" spans="1:10" ht="30" customHeight="1" x14ac:dyDescent="0.25">
      <c r="A1" s="37" t="s">
        <v>138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1.75" customHeight="1" x14ac:dyDescent="0.25">
      <c r="A2" s="35" t="s">
        <v>139</v>
      </c>
      <c r="B2" s="36"/>
      <c r="C2" s="36"/>
      <c r="D2" s="36"/>
      <c r="E2" s="36"/>
      <c r="F2" s="36"/>
      <c r="G2" s="36"/>
      <c r="H2" s="36"/>
      <c r="I2" s="36"/>
      <c r="J2" s="36"/>
    </row>
    <row r="4" spans="1:10" ht="27.75" customHeight="1" x14ac:dyDescent="0.25">
      <c r="A4" s="3" t="s">
        <v>140</v>
      </c>
      <c r="B4" s="3" t="s">
        <v>141</v>
      </c>
      <c r="C4" s="3" t="s">
        <v>142</v>
      </c>
      <c r="D4" s="3" t="s">
        <v>143</v>
      </c>
      <c r="E4" s="3" t="s">
        <v>144</v>
      </c>
      <c r="F4" s="3" t="s">
        <v>145</v>
      </c>
      <c r="G4" s="3" t="s">
        <v>146</v>
      </c>
      <c r="H4" s="3" t="s">
        <v>147</v>
      </c>
      <c r="I4" s="3" t="s">
        <v>130</v>
      </c>
      <c r="J4" s="3" t="s">
        <v>148</v>
      </c>
    </row>
    <row r="5" spans="1:10" ht="60" customHeight="1" x14ac:dyDescent="0.25">
      <c r="A5" s="2" t="s">
        <v>149</v>
      </c>
      <c r="B5" s="1" t="inlineStr">
        <is>
          <t xml:space="preserve">Daniel Laranjeira</t>
        </is>
      </c>
      <c r="C5" s="1" t="inlineStr">
        <is>
          <t xml:space="preserve">Restauração de Pisos de Madeira (autônomo)</t>
        </is>
      </c>
      <c r="D5" s="1" t="inlineStr">
        <is>
          <t xml:space="preserve">Organização parceira: valida requisitos, escopo e protótipo; fornece conteúdo (fotos e descrições) e feedback; opera o WhatsApp comercial</t>
        </is>
      </c>
      <c r="E5" s="1"/>
      <c r="F5" s="1"/>
      <c r="G5" s="1"/>
      <c r="H5" s="1" t="inlineStr">
        <is>
          <t xml:space="preserve">Validar escopo, protótipo e aceite nos marcos; sessão presencial para coleta de fotos</t>
        </is>
      </c>
      <c r="I5" s="1" t="inlineStr">
        <is>
          <t xml:space="preserve">Arthur Laranjeira</t>
        </is>
      </c>
      <c r="J5" s="1" t="inlineStr">
        <is>
          <t xml:space="preserve">Reunião presencial em Ibiúna/SP (preferência aos sábados)</t>
        </is>
      </c>
    </row>
    <row r="6" spans="1:10" ht="45" customHeight="1" x14ac:dyDescent="0.25">
      <c r="A6" s="2" t="s">
        <v>150</v>
      </c>
      <c r="B6" s="1" t="inlineStr">
        <is>
          <t xml:space="preserve">Arthur Laranjeira</t>
        </is>
      </c>
      <c r="C6" s="1" t="inlineStr">
        <is>
          <t xml:space="preserve">Equipe discente / Parceiro</t>
        </is>
      </c>
      <c r="D6" s="1" t="inlineStr">
        <is>
          <t xml:space="preserve">Gerente do projeto, sponsor e responsável de contato com o parceiro</t>
        </is>
      </c>
      <c r="E6" s="1"/>
      <c r="F6" s="1"/>
      <c r="G6" s="1"/>
      <c r="H6" s="1" t="inlineStr">
        <is>
          <t xml:space="preserve">Integrar planejamento, cronograma, riscos, comunicação e evidências</t>
        </is>
      </c>
      <c r="I6" s="1" t="inlineStr">
        <is>
          <t xml:space="preserve">Arthur Laranjeira</t>
        </is>
      </c>
      <c r="J6" s="1" t="inlineStr">
        <is>
          <t xml:space="preserve">Reuniões da equipe e contato direto com o parceiro</t>
        </is>
      </c>
    </row>
    <row r="7" spans="1:10" ht="60" customHeight="1" x14ac:dyDescent="0.25">
      <c r="A7" s="2" t="s">
        <v>151</v>
      </c>
      <c r="B7" s="1" t="inlineStr">
        <is>
          <t xml:space="preserve">Prof. Sandro Amâncio de Sá</t>
        </is>
      </c>
      <c r="C7" s="1" t="inlineStr">
        <is>
          <t xml:space="preserve">Fatec São Roque</t>
        </is>
      </c>
      <c r="D7" s="1" t="inlineStr">
        <is>
          <t xml:space="preserve">Docente / Sponsor institucional / PMO: orienta, acompanha a governança e aprova mudanças acadêmicas</t>
        </is>
      </c>
      <c r="E7" s="1"/>
      <c r="F7" s="1"/>
      <c r="G7" s="1"/>
      <c r="H7" s="1" t="inlineStr">
        <is>
          <t xml:space="preserve">Reportar status, evidências e mudanças; solicitar aprovação de mudanças com impacto</t>
        </is>
      </c>
      <c r="I7" s="1" t="inlineStr">
        <is>
          <t xml:space="preserve">Arthur Laranjeira</t>
        </is>
      </c>
      <c r="J7" s="1" t="inlineStr">
        <is>
          <t xml:space="preserve">Aulas da disciplina e documentação do projeto</t>
        </is>
      </c>
    </row>
    <row r="8" spans="1:10" ht="60" customHeight="1" x14ac:dyDescent="0.25">
      <c r="A8" s="2" t="s">
        <v>152</v>
      </c>
      <c r="B8" s="1" t="inlineStr">
        <is>
          <t xml:space="preserve">Equipe discente (Lucas De Gois, Gabriel Candido, João Lucas)</t>
        </is>
      </c>
      <c r="C8" s="1" t="inlineStr">
        <is>
          <t xml:space="preserve">Fatec São Roque (alunos)</t>
        </is>
      </c>
      <c r="D8" s="1" t="inlineStr">
        <is>
          <t xml:space="preserve">Planejar, prototipar, desenvolver, testar, documentar e registrar o trabalho</t>
        </is>
      </c>
      <c r="E8" s="1"/>
      <c r="F8" s="1"/>
      <c r="G8" s="1"/>
      <c r="H8" s="1" t="inlineStr">
        <is>
          <t xml:space="preserve">Distribuir papéis e tarefas; acompanhar pelo quadro Kanban</t>
        </is>
      </c>
      <c r="I8" s="1" t="inlineStr">
        <is>
          <t xml:space="preserve">Arthur Laranjeira</t>
        </is>
      </c>
      <c r="J8" s="1" t="inlineStr">
        <is>
          <t xml:space="preserve">Quadro Trello/Kanban e reuniões da equipe</t>
        </is>
      </c>
    </row>
    <row r="9" spans="1:10" ht="60" customHeight="1" x14ac:dyDescent="0.25">
      <c r="A9" s="2" t="s">
        <v>153</v>
      </c>
      <c r="B9" s="1" t="inlineStr">
        <is>
          <t xml:space="preserve">Proprietários de residências, sítios e chácaras de Ibiúna e região</t>
        </is>
      </c>
      <c r="C9" s="1" t="inlineStr">
        <is>
          <t xml:space="preserve">Comunidade / clientes potenciais</t>
        </is>
      </c>
      <c r="D9" s="1" t="inlineStr">
        <is>
          <t xml:space="preserve">Beneficiários: encontrar mão de obra qualificada e ver a qualidade das restaurações na internet</t>
        </is>
      </c>
      <c r="E9" s="1"/>
      <c r="F9" s="1"/>
      <c r="G9" s="1"/>
      <c r="H9" s="1" t="inlineStr">
        <is>
          <t xml:space="preserve">Atendidos indiretamente pela landing page, galeria e canal de WhatsApp</t>
        </is>
      </c>
      <c r="I9" s="1" t="inlineStr">
        <is>
          <t xml:space="preserve">Daniel Laranjeira</t>
        </is>
      </c>
      <c r="J9" s="1" t="inlineStr">
        <is>
          <t xml:space="preserve">Landing page e WhatsApp comercial</t>
        </is>
      </c>
    </row>
    <row r="10" spans="1:10" ht="45" customHeight="1" x14ac:dyDescent="0.25">
      <c r="A10" s="2" t="s">
        <v>154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45" customHeight="1" x14ac:dyDescent="0.25">
      <c r="A11" s="2" t="s">
        <v>155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2" t="s">
        <v>156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2" t="s">
        <v>157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2" t="s">
        <v>158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" t="s">
        <v>159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2" t="s">
        <v>160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2" t="s">
        <v>161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2" t="s">
        <v>162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2" t="s">
        <v>163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2" t="s">
        <v>164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2" t="s">
        <v>165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2" t="s">
        <v>166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2" t="s">
        <v>167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2" t="s">
        <v>168</v>
      </c>
      <c r="B24" s="1"/>
      <c r="C24" s="1"/>
      <c r="D24" s="1"/>
      <c r="E24" s="1"/>
      <c r="F24" s="1"/>
      <c r="G24" s="1"/>
      <c r="H24" s="1"/>
      <c r="I24" s="1"/>
      <c r="J24" s="1"/>
    </row>
    <row r="26" spans="1:10" ht="42" customHeight="1" x14ac:dyDescent="0.25">
      <c r="A26" s="35" t="inlineStr">
        <is>
          <t xml:space="preserve">Fonte: Ata de Validação de Escopo/TAP v1.2 e Diário de Bordo. Poder, interesse e atitude não constam nos documentos — preencher pela equipe.</t>
        </is>
      </c>
      <c r="B26" s="36"/>
      <c r="C26" s="36"/>
      <c r="D26" s="36"/>
      <c r="E26" s="36"/>
      <c r="F26" s="36"/>
      <c r="G26" s="36"/>
      <c r="H26" s="36"/>
      <c r="I26" s="36"/>
      <c r="J26" s="36"/>
    </row>
  </sheetData>
  <mergeCells count="3">
    <mergeCell ref="A1:J1"/>
    <mergeCell ref="A26:J26"/>
    <mergeCell ref="A2:J2"/>
  </mergeCells>
  <dataValidations count="2">
    <dataValidation type="list" sqref="E5:F24" xr:uid="{00000000-0002-0000-0400-000000000000}">
      <formula1>"1,2,3,4,5"</formula1>
      <formula2>0</formula2>
    </dataValidation>
    <dataValidation type="list" sqref="G5:G24" xr:uid="{00000000-0002-0000-0400-000001000000}">
      <formula1>"Resistente,Neutro,Apoiador,Líder"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3"/>
  <sheetViews>
    <sheetView zoomScaleNormal="100" workbookViewId="0">
      <pane ySplit="4" topLeftCell="A24" activePane="bottomLeft" state="frozen"/>
      <selection pane="bottomLeft" activeCell="K17" sqref="K17"/>
    </sheetView>
  </sheetViews>
  <sheetFormatPr defaultColWidth="8.7109375" defaultRowHeight="15" x14ac:dyDescent="0.25"/>
  <cols>
    <col min="1" max="1" width="11" customWidth="1"/>
    <col min="2" max="2" width="16" customWidth="1"/>
    <col min="3" max="3" width="48" customWidth="1"/>
    <col min="4" max="4" width="24" customWidth="1"/>
    <col min="5" max="5" width="12" customWidth="1"/>
    <col min="6" max="6" width="46" customWidth="1"/>
    <col min="7" max="7" width="15" customWidth="1"/>
    <col min="8" max="8" width="14" customWidth="1"/>
    <col min="9" max="9" width="10" customWidth="1"/>
    <col min="10" max="11" width="20" customWidth="1"/>
    <col min="12" max="12" width="30" customWidth="1"/>
  </cols>
  <sheetData>
    <row r="1" spans="1:12" ht="30" customHeight="1" x14ac:dyDescent="0.25">
      <c r="A1" s="37" t="s">
        <v>169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21.75" customHeight="1" x14ac:dyDescent="0.25">
      <c r="A2" s="35" t="s">
        <v>170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2" ht="27.75" customHeight="1" x14ac:dyDescent="0.25">
      <c r="A4" s="3" t="s">
        <v>140</v>
      </c>
      <c r="B4" s="3" t="s">
        <v>127</v>
      </c>
      <c r="C4" s="3" t="s">
        <v>171</v>
      </c>
      <c r="D4" s="3" t="s">
        <v>172</v>
      </c>
      <c r="E4" s="3" t="s">
        <v>173</v>
      </c>
      <c r="F4" s="3" t="s">
        <v>174</v>
      </c>
      <c r="G4" s="3" t="s">
        <v>5</v>
      </c>
      <c r="H4" s="3" t="s">
        <v>175</v>
      </c>
      <c r="I4" s="3" t="s">
        <v>176</v>
      </c>
      <c r="J4" s="3" t="s">
        <v>130</v>
      </c>
      <c r="K4" s="3" t="s">
        <v>22</v>
      </c>
      <c r="L4" s="3" t="s">
        <v>131</v>
      </c>
    </row>
    <row r="5" spans="1:12" ht="47.25" customHeight="1" x14ac:dyDescent="0.25">
      <c r="A5" s="2" t="inlineStr">
        <is>
          <t xml:space="preserve">RF-01</t>
        </is>
      </c>
      <c r="B5" s="1" t="inlineStr">
        <is>
          <t xml:space="preserve">Funcional</t>
        </is>
      </c>
      <c r="C5" s="1" t="inlineStr">
        <is>
          <t xml:space="preserve">Página com exibição dos tipos de restauração e acabamentos</t>
        </is>
      </c>
      <c r="D5" s="1" t="inlineStr">
        <is>
          <t xml:space="preserve">Parceiro (Daniel Laranjeira)</t>
        </is>
      </c>
      <c r="E5" s="1" t="inlineStr">
        <is>
          <t xml:space="preserve">Must</t>
        </is>
      </c>
      <c r="F5" s="1" t="inlineStr">
        <is>
          <t xml:space="preserve">Apresentar descrições claras e fotos dos serviços de madeira</t>
        </is>
      </c>
      <c r="G5" s="1" t="inlineStr">
        <is>
          <t xml:space="preserve">ODS 9</t>
        </is>
      </c>
      <c r="H5" s="1" t="inlineStr">
        <is>
          <t xml:space="preserve">9.c</t>
        </is>
      </c>
      <c r="I5" s="1" t="inlineStr">
        <is>
          <t xml:space="preserve">Sim</t>
        </is>
      </c>
      <c r="J5" s="1"/>
      <c r="K5" s="1"/>
      <c r="L5" s="1" t="inlineStr">
        <is>
          <t xml:space="preserve">Ata de Validação de Escopo e TAP v1.2 (18/08/2026)</t>
        </is>
      </c>
    </row>
    <row r="6" spans="1:12" ht="47.25" customHeight="1" x14ac:dyDescent="0.25">
      <c r="A6" s="2" t="inlineStr">
        <is>
          <t xml:space="preserve">RF-02</t>
        </is>
      </c>
      <c r="B6" s="1" t="inlineStr">
        <is>
          <t xml:space="preserve">Funcional</t>
        </is>
      </c>
      <c r="C6" s="1" t="inlineStr">
        <is>
          <t xml:space="preserve">Galeria de 'Antes e Depois' com fotos de projetos reais</t>
        </is>
      </c>
      <c r="D6" s="1" t="inlineStr">
        <is>
          <t xml:space="preserve">Parceiro (Daniel Laranjeira)</t>
        </is>
      </c>
      <c r="E6" s="1" t="inlineStr">
        <is>
          <t xml:space="preserve">Must</t>
        </is>
      </c>
      <c r="F6" s="1" t="inlineStr">
        <is>
          <t xml:space="preserve">Visualização nítida em carrossel/grade em dispositivos móveis</t>
        </is>
      </c>
      <c r="G6" s="1" t="inlineStr">
        <is>
          <t xml:space="preserve">ODS 12</t>
        </is>
      </c>
      <c r="H6" s="1" t="inlineStr">
        <is>
          <t xml:space="preserve">12.5</t>
        </is>
      </c>
      <c r="I6" s="1" t="inlineStr">
        <is>
          <t xml:space="preserve">Sim</t>
        </is>
      </c>
      <c r="J6" s="1"/>
      <c r="K6" s="1"/>
      <c r="L6" s="1" t="inlineStr">
        <is>
          <t xml:space="preserve">Ata de Validação de Escopo e TAP v1.2 (18/08/2026)</t>
        </is>
      </c>
    </row>
    <row r="7" spans="1:12" ht="61.5" customHeight="1" x14ac:dyDescent="0.25">
      <c r="A7" s="2" t="inlineStr">
        <is>
          <t xml:space="preserve">RF-03</t>
        </is>
      </c>
      <c r="B7" s="1" t="inlineStr">
        <is>
          <t xml:space="preserve">Funcional</t>
        </is>
      </c>
      <c r="C7" s="1" t="inlineStr">
        <is>
          <t xml:space="preserve">Botão flutuante e de rodapé integrado ao WhatsApp</t>
        </is>
      </c>
      <c r="D7" s="1" t="inlineStr">
        <is>
          <t xml:space="preserve">Parceiro (Daniel Laranjeira)</t>
        </is>
      </c>
      <c r="E7" s="1" t="inlineStr">
        <is>
          <t xml:space="preserve">Must</t>
        </is>
      </c>
      <c r="F7" s="1" t="inlineStr">
        <is>
          <t xml:space="preserve">Ao clicar, abrir conversa já com mensagem inicial pré-formatada</t>
        </is>
      </c>
      <c r="G7" s="1" t="inlineStr">
        <is>
          <t xml:space="preserve">ODS 17</t>
        </is>
      </c>
      <c r="H7" s="1" t="inlineStr">
        <is>
          <t xml:space="preserve">17.17</t>
        </is>
      </c>
      <c r="I7" s="1" t="inlineStr">
        <is>
          <t xml:space="preserve">Sim</t>
        </is>
      </c>
      <c r="J7" s="1"/>
      <c r="K7" s="1"/>
      <c r="L7" s="1" t="inlineStr">
        <is>
          <t xml:space="preserve">Ata de Validação de Escopo e TAP v1.2 (18/08/2026)</t>
        </is>
      </c>
    </row>
    <row r="8" spans="1:12" ht="61.5" customHeight="1" x14ac:dyDescent="0.25">
      <c r="A8" s="2" t="inlineStr">
        <is>
          <t xml:space="preserve">RNF-01</t>
        </is>
      </c>
      <c r="B8" s="1" t="inlineStr">
        <is>
          <t xml:space="preserve">Não funcional</t>
        </is>
      </c>
      <c r="C8" s="1" t="inlineStr">
        <is>
          <t xml:space="preserve">Design responsivo e alta performance de carregamento</t>
        </is>
      </c>
      <c r="D8" s="1" t="inlineStr">
        <is>
          <t xml:space="preserve">Parceiro (Daniel Laranjeira)</t>
        </is>
      </c>
      <c r="E8" s="1" t="inlineStr">
        <is>
          <t xml:space="preserve">Should</t>
        </is>
      </c>
      <c r="F8" s="1" t="inlineStr">
        <is>
          <t xml:space="preserve">Pontuação mobile satisfatória no PageSpeed e layout adaptado</t>
        </is>
      </c>
      <c r="G8" s="1" t="inlineStr">
        <is>
          <t xml:space="preserve">ODS 9</t>
        </is>
      </c>
      <c r="H8" s="1" t="inlineStr">
        <is>
          <t xml:space="preserve">9.c</t>
        </is>
      </c>
      <c r="I8" s="1" t="inlineStr">
        <is>
          <t xml:space="preserve">Sim</t>
        </is>
      </c>
      <c r="J8" s="1"/>
      <c r="K8" s="1"/>
      <c r="L8" s="1" t="inlineStr">
        <is>
          <t xml:space="preserve">Ata de Validação de Escopo e TAP v1.2 (18/08/2026)</t>
        </is>
      </c>
    </row>
    <row r="9" spans="1:12" ht="47.25" customHeight="1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61.5" customHeight="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47.25" customHeight="1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61.5" customHeight="1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47.25" customHeight="1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47.25" customHeight="1" x14ac:dyDescent="0.2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47.25" customHeight="1" x14ac:dyDescent="0.2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47.25" customHeight="1" x14ac:dyDescent="0.25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47.25" customHeight="1" x14ac:dyDescent="0.2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47.25" customHeight="1" x14ac:dyDescent="0.25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47.25" customHeight="1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47.25" customHeight="1" x14ac:dyDescent="0.2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47.25" customHeight="1" x14ac:dyDescent="0.2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47.25" customHeight="1" x14ac:dyDescent="0.2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47.25" customHeight="1" x14ac:dyDescent="0.2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61.5" customHeight="1" x14ac:dyDescent="0.2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47.25" customHeight="1" x14ac:dyDescent="0.2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47.25" customHeight="1" x14ac:dyDescent="0.25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47.25" customHeight="1" x14ac:dyDescent="0.25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47.25" customHeight="1" x14ac:dyDescent="0.25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47.25" customHeight="1" x14ac:dyDescent="0.25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47.25" customHeight="1" x14ac:dyDescent="0.25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47.25" customHeight="1" x14ac:dyDescent="0.25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47.25" customHeight="1" x14ac:dyDescent="0.25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47.25" customHeight="1" x14ac:dyDescent="0.25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47.25" customHeight="1" x14ac:dyDescent="0.25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47.25" customHeight="1" x14ac:dyDescent="0.25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47.25" customHeight="1" x14ac:dyDescent="0.25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61.5" customHeight="1" x14ac:dyDescent="0.25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61.5" customHeight="1" x14ac:dyDescent="0.25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47.25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47.25" customHeight="1" x14ac:dyDescent="0.25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47.25" customHeight="1" x14ac:dyDescent="0.25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45" x14ac:dyDescent="0.25">
      <c r="A42" s="2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3" spans="1:12" ht="45" x14ac:dyDescent="0.25">
      <c r="A43" s="2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</row>
  </sheetData>
  <mergeCells count="2">
    <mergeCell ref="A2:L2"/>
    <mergeCell ref="A1:L1"/>
  </mergeCells>
  <dataValidations count="5">
    <dataValidation type="list" sqref="B5:B43" xr:uid="{00000000-0002-0000-0500-000000000000}">
      <formula1>"Funcional,Não funcional,Negócio,Restrição"</formula1>
      <formula2>0</formula2>
    </dataValidation>
    <dataValidation type="list" sqref="E5:E43" xr:uid="{00000000-0002-0000-0500-000001000000}">
      <formula1>"Must,Should,Could,Won't"</formula1>
      <formula2>0</formula2>
    </dataValidation>
    <dataValidation type="list" sqref="G5:G43" xr:uid="{00000000-0002-0000-0500-000002000000}">
      <formula1>"ODS 9,ODS 12,ODS 17,ODS 9;12,ODS 9;17,ODS 12;17,ODS 9;12;17,Não aplicável"</formula1>
      <formula2>0</formula2>
    </dataValidation>
    <dataValidation type="list" sqref="I5:I43" xr:uid="{00000000-0002-0000-0500-000003000000}">
      <formula1>"Sim,Não"</formula1>
      <formula2>0</formula2>
    </dataValidation>
    <dataValidation type="list" sqref="K5:K43" xr:uid="{00000000-0002-0000-0500-000004000000}">
      <formula1>"Não iniciado,Em andamento,Aguardando parceiro,Em validação,Concluído,Bloqueado"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"/>
  <sheetViews>
    <sheetView topLeftCell="A23" zoomScaleNormal="100" workbookViewId="0">
      <selection activeCell="F38" sqref="F38"/>
    </sheetView>
  </sheetViews>
  <sheetFormatPr defaultColWidth="8.7109375" defaultRowHeight="15" x14ac:dyDescent="0.25"/>
  <cols>
    <col min="1" max="1" width="12" customWidth="1"/>
    <col min="2" max="2" width="24" customWidth="1"/>
    <col min="3" max="3" width="30" customWidth="1"/>
    <col min="4" max="4" width="38" customWidth="1"/>
    <col min="5" max="5" width="16" customWidth="1"/>
    <col min="6" max="9" width="20" customWidth="1"/>
    <col min="10" max="10" width="10" customWidth="1"/>
    <col min="11" max="11" width="20" customWidth="1"/>
    <col min="12" max="12" width="14" customWidth="1"/>
  </cols>
  <sheetData>
    <row r="1" spans="1:12" ht="30" customHeight="1" x14ac:dyDescent="0.25">
      <c r="A1" s="37" t="s">
        <v>178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21.75" customHeight="1" x14ac:dyDescent="0.25">
      <c r="A2" s="35" t="s">
        <v>179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2" ht="27.75" customHeight="1" x14ac:dyDescent="0.25">
      <c r="A4" s="3" t="s">
        <v>180</v>
      </c>
      <c r="B4" s="3" t="s">
        <v>181</v>
      </c>
      <c r="C4" s="3" t="s">
        <v>182</v>
      </c>
      <c r="D4" s="3" t="s">
        <v>183</v>
      </c>
      <c r="E4" s="3" t="s">
        <v>184</v>
      </c>
      <c r="F4" s="3" t="s">
        <v>185</v>
      </c>
      <c r="G4" s="3" t="s">
        <v>186</v>
      </c>
      <c r="H4" s="3" t="s">
        <v>187</v>
      </c>
      <c r="I4" s="3" t="s">
        <v>188</v>
      </c>
      <c r="J4" s="3" t="s">
        <v>189</v>
      </c>
      <c r="K4" s="3" t="s">
        <v>22</v>
      </c>
      <c r="L4" s="3" t="s">
        <v>190</v>
      </c>
    </row>
    <row r="5" spans="1:12" x14ac:dyDescent="0.25">
      <c r="A5" s="8" t="inlineStr">
        <is>
          <t xml:space="preserve">1.1.1</t>
        </is>
      </c>
      <c r="B5" s="8" t="inlineStr">
        <is>
          <t xml:space="preserve">1. Iniciação</t>
        </is>
      </c>
      <c r="C5" s="8" t="inlineStr">
        <is>
          <t xml:space="preserve">Seleção do parceiro e governança</t>
        </is>
      </c>
      <c r="D5" s="8" t="inlineStr">
        <is>
          <t xml:space="preserve">Justificativa de seleção direta do parceiro, governança mínima e roteiro de primeiro contato</t>
        </is>
      </c>
      <c r="E5" s="8"/>
      <c r="F5" s="8" t="inlineStr">
        <is>
          <t xml:space="preserve">Arthur Laranjeira</t>
        </is>
      </c>
      <c r="G5" s="8"/>
      <c r="H5" s="8"/>
      <c r="I5" s="8"/>
      <c r="J5" s="8"/>
      <c r="K5" s="8" t="inlineStr">
        <is>
          <t xml:space="preserve">Concluído</t>
        </is>
      </c>
      <c r="L5" s="9">
        <v>1</v>
      </c>
    </row>
    <row r="6" spans="1:12" ht="30" customHeight="1" x14ac:dyDescent="0.25">
      <c r="A6" s="8" t="inlineStr">
        <is>
          <t xml:space="preserve">1.1.2</t>
        </is>
      </c>
      <c r="B6" s="8" t="inlineStr">
        <is>
          <t xml:space="preserve">1. Iniciação</t>
        </is>
      </c>
      <c r="C6" s="8" t="inlineStr">
        <is>
          <t xml:space="preserve">Diagnóstico</t>
        </is>
      </c>
      <c r="D6" s="8" t="inlineStr">
        <is>
          <t xml:space="preserve">Reunião de diagnóstico e alinhamento inicial com o parceiro</t>
        </is>
      </c>
      <c r="E6" s="8"/>
      <c r="F6" s="8" t="inlineStr">
        <is>
          <t xml:space="preserve">Arthur Laranjeira</t>
        </is>
      </c>
      <c r="G6" s="8" t="inlineStr">
        <is>
          <t xml:space="preserve">Daniel Laranjeira</t>
        </is>
      </c>
      <c r="H6" s="8"/>
      <c r="I6" s="8"/>
      <c r="J6" s="8"/>
      <c r="K6" s="8" t="inlineStr">
        <is>
          <t xml:space="preserve">Concluído</t>
        </is>
      </c>
      <c r="L6" s="9">
        <v>1</v>
      </c>
    </row>
    <row r="7" spans="1:12" ht="30" customHeight="1" x14ac:dyDescent="0.25">
      <c r="A7" s="8" t="inlineStr">
        <is>
          <t xml:space="preserve">1.1.3</t>
        </is>
      </c>
      <c r="B7" s="8" t="inlineStr">
        <is>
          <t xml:space="preserve">1. Iniciação</t>
        </is>
      </c>
      <c r="C7" s="8" t="inlineStr">
        <is>
          <t xml:space="preserve">TAP</t>
        </is>
      </c>
      <c r="D7" s="8" t="inlineStr">
        <is>
          <t xml:space="preserve">Ata de validação de escopo e TAP v1.2</t>
        </is>
      </c>
      <c r="E7" s="8"/>
      <c r="F7" s="8" t="inlineStr">
        <is>
          <t xml:space="preserve">Arthur Laranjeira</t>
        </is>
      </c>
      <c r="G7" s="8" t="inlineStr">
        <is>
          <t xml:space="preserve">Daniel Laranjeira</t>
        </is>
      </c>
      <c r="H7" s="8"/>
      <c r="I7" s="8"/>
      <c r="J7" s="8"/>
      <c r="K7" s="8" t="inlineStr">
        <is>
          <t xml:space="preserve">Concluído</t>
        </is>
      </c>
      <c r="L7" s="9">
        <v>1</v>
      </c>
    </row>
    <row r="8" spans="1:12" ht="30" customHeight="1" x14ac:dyDescent="0.25">
      <c r="A8" s="8" t="inlineStr">
        <is>
          <t xml:space="preserve">1.2.1</t>
        </is>
      </c>
      <c r="B8" s="8" t="inlineStr">
        <is>
          <t xml:space="preserve">2. Planejamento</t>
        </is>
      </c>
      <c r="C8" s="8" t="inlineStr">
        <is>
          <t xml:space="preserve">Requisitos</t>
        </is>
      </c>
      <c r="D8" s="8" t="inlineStr">
        <is>
          <t xml:space="preserve">Documento de requisitos e rastreabilidade ODS/meta</t>
        </is>
      </c>
      <c r="E8" s="8"/>
      <c r="F8" s="8"/>
      <c r="G8" s="8" t="inlineStr">
        <is>
          <t xml:space="preserve">Daniel Laranjeira</t>
        </is>
      </c>
      <c r="H8" s="8"/>
      <c r="I8" s="8"/>
      <c r="J8" s="8"/>
      <c r="K8" s="8"/>
      <c r="L8" s="9"/>
    </row>
    <row r="9" spans="1:12" ht="30" customHeight="1" x14ac:dyDescent="0.25">
      <c r="A9" s="8" t="inlineStr">
        <is>
          <t xml:space="preserve">1.2.2</t>
        </is>
      </c>
      <c r="B9" s="8" t="inlineStr">
        <is>
          <t xml:space="preserve">2. Planejamento</t>
        </is>
      </c>
      <c r="C9" s="8" t="inlineStr">
        <is>
          <t xml:space="preserve">Stakeholders</t>
        </is>
      </c>
      <c r="D9" s="8" t="inlineStr">
        <is>
          <t xml:space="preserve">Registro de stakeholders</t>
        </is>
      </c>
      <c r="E9" s="8"/>
      <c r="F9" s="8" t="inlineStr">
        <is>
          <t xml:space="preserve">Arthur Laranjeira</t>
        </is>
      </c>
      <c r="G9" s="8"/>
      <c r="H9" s="8"/>
      <c r="I9" s="8"/>
      <c r="J9" s="8"/>
      <c r="K9" s="8"/>
      <c r="L9" s="9"/>
    </row>
    <row r="10" spans="1:12" ht="30" x14ac:dyDescent="0.25">
      <c r="A10" s="8" t="inlineStr">
        <is>
          <t xml:space="preserve">1.2.3</t>
        </is>
      </c>
      <c r="B10" s="8" t="inlineStr">
        <is>
          <t xml:space="preserve">2. Planejamento</t>
        </is>
      </c>
      <c r="C10" s="8" t="inlineStr">
        <is>
          <t xml:space="preserve">Escopo, EAP e RACI</t>
        </is>
      </c>
      <c r="D10" s="8" t="inlineStr">
        <is>
          <t xml:space="preserve">Declaração de escopo, EAP/WBS e matriz RACI</t>
        </is>
      </c>
      <c r="E10" s="8"/>
      <c r="F10" s="8" t="inlineStr">
        <is>
          <t xml:space="preserve">Arthur Laranjeira</t>
        </is>
      </c>
      <c r="G10" s="8"/>
      <c r="H10" s="8"/>
      <c r="I10" s="8"/>
      <c r="J10" s="8"/>
      <c r="K10" s="8"/>
      <c r="L10" s="9"/>
    </row>
    <row r="11" spans="1:12" x14ac:dyDescent="0.25">
      <c r="A11" s="8" t="inlineStr">
        <is>
          <t xml:space="preserve">1.2.4</t>
        </is>
      </c>
      <c r="B11" s="8" t="inlineStr">
        <is>
          <t xml:space="preserve">2. Planejamento</t>
        </is>
      </c>
      <c r="C11" s="8" t="inlineStr">
        <is>
          <t xml:space="preserve">Cronograma</t>
        </is>
      </c>
      <c r="D11" s="8" t="inlineStr">
        <is>
          <t xml:space="preserve">Cronograma, marcos e estimativas</t>
        </is>
      </c>
      <c r="E11" s="8"/>
      <c r="F11" s="8" t="inlineStr">
        <is>
          <t xml:space="preserve">Arthur Laranjeira</t>
        </is>
      </c>
      <c r="G11" s="8"/>
      <c r="H11" s="8"/>
      <c r="I11" s="8"/>
      <c r="J11" s="8"/>
      <c r="K11" s="8"/>
      <c r="L11" s="9"/>
    </row>
    <row r="12" spans="1:12" ht="30" x14ac:dyDescent="0.25">
      <c r="A12" s="8" t="inlineStr">
        <is>
          <t xml:space="preserve">1.2.5</t>
        </is>
      </c>
      <c r="B12" s="8" t="inlineStr">
        <is>
          <t xml:space="preserve">2. Planejamento</t>
        </is>
      </c>
      <c r="C12" s="8" t="inlineStr">
        <is>
          <t xml:space="preserve">Riscos e comunicação</t>
        </is>
      </c>
      <c r="D12" s="8" t="inlineStr">
        <is>
          <t xml:space="preserve">Registro de riscos e plano de comunicação</t>
        </is>
      </c>
      <c r="E12" s="8"/>
      <c r="F12" s="8" t="inlineStr">
        <is>
          <t xml:space="preserve">Arthur Laranjeira</t>
        </is>
      </c>
      <c r="G12" s="8"/>
      <c r="H12" s="8"/>
      <c r="I12" s="8"/>
      <c r="J12" s="8"/>
      <c r="K12" s="8"/>
      <c r="L12" s="9"/>
    </row>
    <row r="13" spans="1:12" ht="30" x14ac:dyDescent="0.25">
      <c r="A13" s="8" t="inlineStr">
        <is>
          <t xml:space="preserve">1.2.6</t>
        </is>
      </c>
      <c r="B13" s="8" t="inlineStr">
        <is>
          <t xml:space="preserve">2. Planejamento</t>
        </is>
      </c>
      <c r="C13" s="8" t="inlineStr">
        <is>
          <t xml:space="preserve">Orçamento</t>
        </is>
      </c>
      <c r="D13" s="8" t="inlineStr">
        <is>
          <t xml:space="preserve">Orçamento de referência (R$ 0,00) e ferramentas de custo zero</t>
        </is>
      </c>
      <c r="E13" s="8"/>
      <c r="F13" s="8" t="inlineStr">
        <is>
          <t xml:space="preserve">João Lucas</t>
        </is>
      </c>
      <c r="G13" s="8"/>
      <c r="H13" s="8"/>
      <c r="I13" s="8"/>
      <c r="J13" s="8"/>
      <c r="K13" s="8"/>
      <c r="L13" s="9"/>
    </row>
    <row r="14" spans="1:12" ht="30" customHeight="1" x14ac:dyDescent="0.25">
      <c r="A14" s="8" t="inlineStr">
        <is>
          <t xml:space="preserve">1.2.7</t>
        </is>
      </c>
      <c r="B14" s="8" t="inlineStr">
        <is>
          <t xml:space="preserve">2. Planejamento</t>
        </is>
      </c>
      <c r="C14" s="8" t="inlineStr">
        <is>
          <t xml:space="preserve">Backlog</t>
        </is>
      </c>
      <c r="D14" s="8" t="inlineStr">
        <is>
          <t xml:space="preserve">Estruturação do backlog de requisitos e tarefas no quadro Kanban</t>
        </is>
      </c>
      <c r="E14" s="8"/>
      <c r="F14" s="8" t="inlineStr">
        <is>
          <t xml:space="preserve">Lucas De Gois; João Lucas</t>
        </is>
      </c>
      <c r="G14" s="8"/>
      <c r="H14" s="8"/>
      <c r="I14" s="8"/>
      <c r="J14" s="8"/>
      <c r="K14" s="8"/>
      <c r="L14" s="9"/>
    </row>
    <row r="15" spans="1:12" ht="30" x14ac:dyDescent="0.25">
      <c r="A15" s="8" t="inlineStr">
        <is>
          <t xml:space="preserve">2.1.1</t>
        </is>
      </c>
      <c r="B15" s="8" t="inlineStr">
        <is>
          <t xml:space="preserve">3. Conteúdo</t>
        </is>
      </c>
      <c r="C15" s="8" t="inlineStr">
        <is>
          <t xml:space="preserve">Coleta de conteúdo</t>
        </is>
      </c>
      <c r="D15" s="8" t="inlineStr">
        <is>
          <t xml:space="preserve">Coleta de imagens de serviços anteriores e depoimentos</t>
        </is>
      </c>
      <c r="E15" s="8"/>
      <c r="F15" s="8" t="inlineStr">
        <is>
          <t xml:space="preserve">Arthur Laranjeira</t>
        </is>
      </c>
      <c r="G15" s="8"/>
      <c r="H15" s="8"/>
      <c r="I15" s="8"/>
      <c r="J15" s="8"/>
      <c r="K15" s="8"/>
      <c r="L15" s="9"/>
    </row>
    <row r="16" spans="1:12" ht="30" customHeight="1" x14ac:dyDescent="0.25">
      <c r="A16" s="8" t="inlineStr">
        <is>
          <t xml:space="preserve">2.2.1</t>
        </is>
      </c>
      <c r="B16" s="8" t="inlineStr">
        <is>
          <t xml:space="preserve">4. Protótipo</t>
        </is>
      </c>
      <c r="C16" s="8" t="inlineStr">
        <is>
          <t xml:space="preserve">Wireframe</t>
        </is>
      </c>
      <c r="D16" s="8" t="inlineStr">
        <is>
          <t xml:space="preserve">Wireframe / protótipo de baixa fidelidade (Figma)</t>
        </is>
      </c>
      <c r="E16" s="8"/>
      <c r="F16" s="8" t="inlineStr">
        <is>
          <t xml:space="preserve">Gabriel Candido</t>
        </is>
      </c>
      <c r="G16" s="8"/>
      <c r="H16" s="8"/>
      <c r="I16" s="8"/>
      <c r="J16" s="8"/>
      <c r="K16" s="8"/>
      <c r="L16" s="9"/>
    </row>
    <row r="17" spans="1:12" ht="30" customHeight="1" x14ac:dyDescent="0.25">
      <c r="A17" s="8" t="inlineStr">
        <is>
          <t xml:space="preserve">2.2.2</t>
        </is>
      </c>
      <c r="B17" s="8" t="inlineStr">
        <is>
          <t xml:space="preserve">4. Protótipo</t>
        </is>
      </c>
      <c r="C17" s="8" t="inlineStr">
        <is>
          <t xml:space="preserve">Validação</t>
        </is>
      </c>
      <c r="D17" s="8" t="inlineStr">
        <is>
          <t xml:space="preserve">Validação do protótipo navegável com o parceiro (layout, cores, galeria e CTA)</t>
        </is>
      </c>
      <c r="E17" s="8"/>
      <c r="F17" s="8" t="inlineStr">
        <is>
          <t xml:space="preserve">Gabriel Candido</t>
        </is>
      </c>
      <c r="G17" s="8" t="inlineStr">
        <is>
          <t xml:space="preserve">Daniel Laranjeira</t>
        </is>
      </c>
      <c r="H17" s="8"/>
      <c r="I17" s="8"/>
      <c r="J17" s="8"/>
      <c r="K17" s="8"/>
      <c r="L17" s="9"/>
    </row>
    <row r="18" spans="1:12" ht="30" customHeight="1" x14ac:dyDescent="0.25">
      <c r="A18" s="8" t="inlineStr">
        <is>
          <t xml:space="preserve">2.3.1</t>
        </is>
      </c>
      <c r="B18" s="8" t="inlineStr">
        <is>
          <t xml:space="preserve">5. MVP</t>
        </is>
      </c>
      <c r="C18" s="8" t="inlineStr">
        <is>
          <t xml:space="preserve">Landing page</t>
        </is>
      </c>
      <c r="D18" s="8" t="inlineStr">
        <is>
          <t xml:space="preserve">Landing page responsiva (Home, Sobre, Serviços, Galeria, Contato)</t>
        </is>
      </c>
      <c r="E18" s="8"/>
      <c r="F18" s="8"/>
      <c r="G18" s="8" t="inlineStr">
        <is>
          <t xml:space="preserve">Daniel Laranjeira</t>
        </is>
      </c>
      <c r="H18" s="8"/>
      <c r="I18" s="8"/>
      <c r="J18" s="8"/>
      <c r="K18" s="8"/>
      <c r="L18" s="9"/>
    </row>
    <row r="19" spans="1:12" ht="30" customHeight="1" x14ac:dyDescent="0.25">
      <c r="A19" s="8" t="inlineStr">
        <is>
          <t xml:space="preserve">2.3.2</t>
        </is>
      </c>
      <c r="B19" s="8" t="inlineStr">
        <is>
          <t xml:space="preserve">5. MVP</t>
        </is>
      </c>
      <c r="C19" s="8" t="inlineStr">
        <is>
          <t xml:space="preserve">Galeria</t>
        </is>
      </c>
      <c r="D19" s="8" t="inlineStr">
        <is>
          <t xml:space="preserve">Galeria interativa 'Antes e Depois'</t>
        </is>
      </c>
      <c r="E19" s="8"/>
      <c r="F19" s="8"/>
      <c r="G19" s="8" t="inlineStr">
        <is>
          <t xml:space="preserve">Daniel Laranjeira</t>
        </is>
      </c>
      <c r="H19" s="8"/>
      <c r="I19" s="8"/>
      <c r="J19" s="8"/>
      <c r="K19" s="8"/>
      <c r="L19" s="9"/>
    </row>
    <row r="20" spans="1:12" ht="30" customHeight="1" x14ac:dyDescent="0.25">
      <c r="A20" s="8" t="inlineStr">
        <is>
          <t xml:space="preserve">2.3.3</t>
        </is>
      </c>
      <c r="B20" s="8" t="inlineStr">
        <is>
          <t xml:space="preserve">5. MVP</t>
        </is>
      </c>
      <c r="C20" s="8" t="inlineStr">
        <is>
          <t xml:space="preserve">WhatsApp</t>
        </is>
      </c>
      <c r="D20" s="8" t="inlineStr">
        <is>
          <t xml:space="preserve">Botões de CTA integrados ao WhatsApp comercial</t>
        </is>
      </c>
      <c r="E20" s="8"/>
      <c r="F20" s="8"/>
      <c r="G20" s="8" t="inlineStr">
        <is>
          <t xml:space="preserve">Daniel Laranjeira</t>
        </is>
      </c>
      <c r="H20" s="8"/>
      <c r="I20" s="8"/>
      <c r="J20" s="8"/>
      <c r="K20" s="8"/>
      <c r="L20" s="9"/>
    </row>
    <row r="21" spans="1:12" ht="30" customHeight="1" x14ac:dyDescent="0.25">
      <c r="A21" s="8" t="inlineStr">
        <is>
          <t xml:space="preserve">2.3.4</t>
        </is>
      </c>
      <c r="B21" s="8" t="inlineStr">
        <is>
          <t xml:space="preserve">5. MVP</t>
        </is>
      </c>
      <c r="C21" s="8" t="inlineStr">
        <is>
          <t xml:space="preserve">SEO e publicação</t>
        </is>
      </c>
      <c r="D21" s="8" t="inlineStr">
        <is>
          <t xml:space="preserve">SEO básico local e hospedagem/publicação do MVP</t>
        </is>
      </c>
      <c r="E21" s="8"/>
      <c r="F21" s="8"/>
      <c r="G21" s="8"/>
      <c r="H21" s="8"/>
      <c r="I21" s="8"/>
      <c r="J21" s="8"/>
      <c r="K21" s="8"/>
      <c r="L21" s="9"/>
    </row>
    <row r="22" spans="1:12" ht="30" customHeight="1" x14ac:dyDescent="0.25">
      <c r="A22" s="8" t="inlineStr">
        <is>
          <t xml:space="preserve">2.4.1</t>
        </is>
      </c>
      <c r="B22" s="8" t="inlineStr">
        <is>
          <t xml:space="preserve">6. Testes</t>
        </is>
      </c>
      <c r="C22" s="8" t="inlineStr">
        <is>
          <t xml:space="preserve">Testes</t>
        </is>
      </c>
      <c r="D22" s="8" t="inlineStr">
        <is>
          <t xml:space="preserve">Testes funcionais, de usabilidade, links do WhatsApp e cross-browser</t>
        </is>
      </c>
      <c r="E22" s="8"/>
      <c r="F22" s="8" t="inlineStr">
        <is>
          <t xml:space="preserve">Gabriel Candido</t>
        </is>
      </c>
      <c r="G22" s="8"/>
      <c r="H22" s="8"/>
      <c r="I22" s="8"/>
      <c r="J22" s="8"/>
      <c r="K22" s="8"/>
      <c r="L22" s="9"/>
    </row>
    <row r="23" spans="1:12" ht="30" customHeight="1" x14ac:dyDescent="0.25">
      <c r="A23" s="8" t="inlineStr">
        <is>
          <t xml:space="preserve">3.1</t>
        </is>
      </c>
      <c r="B23" s="8" t="inlineStr">
        <is>
          <t xml:space="preserve">7. Encerramento</t>
        </is>
      </c>
      <c r="C23" s="8" t="inlineStr">
        <is>
          <t xml:space="preserve">Documentação</t>
        </is>
      </c>
      <c r="D23" s="8" t="inlineStr">
        <is>
          <t xml:space="preserve">Relatórios de testes, indicadores, documentação técnica e portfólio final</t>
        </is>
      </c>
      <c r="E23" s="8"/>
      <c r="F23" s="8"/>
      <c r="G23" s="8"/>
      <c r="H23" s="8"/>
      <c r="I23" s="8"/>
      <c r="J23" s="8"/>
      <c r="K23" s="8"/>
      <c r="L23" s="9"/>
    </row>
    <row r="24" spans="1:12" ht="30" customHeight="1" x14ac:dyDescent="0.25">
      <c r="A24" s="8" t="inlineStr">
        <is>
          <t xml:space="preserve">3.2</t>
        </is>
      </c>
      <c r="B24" s="8" t="inlineStr">
        <is>
          <t xml:space="preserve">7. Encerramento</t>
        </is>
      </c>
      <c r="C24" s="8" t="inlineStr">
        <is>
          <t xml:space="preserve">Aceite</t>
        </is>
      </c>
      <c r="D24" s="8" t="inlineStr">
        <is>
          <t xml:space="preserve">Aceite/encerramento assinado pelo parceiro e entrega acadêmica</t>
        </is>
      </c>
      <c r="E24" s="8"/>
      <c r="F24" s="8" t="inlineStr">
        <is>
          <t xml:space="preserve">Arthur Laranjeira</t>
        </is>
      </c>
      <c r="G24" s="8" t="inlineStr">
        <is>
          <t xml:space="preserve">Daniel Laranjeira</t>
        </is>
      </c>
      <c r="H24" s="8"/>
      <c r="I24" s="8"/>
      <c r="J24" s="8"/>
      <c r="K24" s="8"/>
      <c r="L24" s="9"/>
    </row>
    <row r="25" spans="1:12" ht="30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</row>
    <row r="26" spans="1:1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</row>
    <row r="27" spans="1:1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</row>
    <row r="28" spans="1:12" ht="30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</row>
    <row r="29" spans="1:12" ht="30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</row>
    <row r="30" spans="1:12" ht="30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</row>
    <row r="31" spans="1:12" ht="30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</row>
    <row r="32" spans="1:12" ht="30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</row>
    <row r="33" spans="1:12" ht="30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</row>
    <row r="34" spans="1:1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</row>
    <row r="35" spans="1:1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</row>
    <row r="36" spans="1:1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</row>
    <row r="37" spans="1:1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9"/>
    </row>
    <row r="38" spans="1:1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9"/>
    </row>
    <row r="39" spans="1:1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9"/>
    </row>
    <row r="40" spans="1:1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9"/>
    </row>
    <row r="41" spans="1:1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9"/>
    </row>
    <row r="42" spans="1:1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9"/>
    </row>
    <row r="43" spans="1:1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9"/>
    </row>
    <row r="45" spans="1:12" ht="42" customHeight="1" x14ac:dyDescent="0.25">
      <c r="A45" s="35" t="inlineStr">
        <is>
          <t xml:space="preserve">Fonte: entregáveis aprovados na Ata/TAP v1.2, pendências e marcos. Esforço (h), Consultado/Informado e unidade não constam nos documentos — preencher pela equipe.</t>
        </is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</row>
  </sheetData>
  <mergeCells count="3">
    <mergeCell ref="A1:L1"/>
    <mergeCell ref="A2:L2"/>
    <mergeCell ref="A45:L45"/>
  </mergeCells>
  <dataValidations count="3">
    <dataValidation type="list" sqref="K5:K43" xr:uid="{00000000-0002-0000-0600-000000000000}">
      <formula1>"Não iniciado,Em andamento,Aguardando parceiro,Em validação,Concluído,Bloqueado"</formula1>
      <formula2>0</formula2>
    </dataValidation>
    <dataValidation type="list" sqref="J5:J43" xr:uid="{00000000-0002-0000-0600-000001000000}">
      <formula1>"Pré,1,2,3,4,5,6,7,8,9,10,11,12,13,14,15,16,17,18,19,20"</formula1>
      <formula2>0</formula2>
    </dataValidation>
    <dataValidation type="list" sqref="L5:L43" xr:uid="{00000000-0002-0000-0600-000002000000}">
      <formula1>"0%,25%,50%,75%,100%"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5"/>
  <sheetViews>
    <sheetView zoomScaleNormal="100" workbookViewId="0">
      <selection activeCell="A31" sqref="A31"/>
    </sheetView>
  </sheetViews>
  <sheetFormatPr defaultColWidth="8.7109375" defaultRowHeight="15" x14ac:dyDescent="0.25"/>
  <cols>
    <col min="1" max="1" width="8" customWidth="1"/>
    <col min="2" max="2" width="42" customWidth="1"/>
    <col min="3" max="3" width="10" customWidth="1"/>
    <col min="4" max="7" width="16" customWidth="1"/>
    <col min="8" max="8" width="14" customWidth="1"/>
    <col min="9" max="10" width="22" customWidth="1"/>
  </cols>
  <sheetData>
    <row r="1" spans="1:10" ht="30" customHeight="1" x14ac:dyDescent="0.25">
      <c r="A1" s="37" t="s">
        <v>199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1.75" customHeight="1" x14ac:dyDescent="0.25">
      <c r="A2" s="35" t="s">
        <v>200</v>
      </c>
      <c r="B2" s="36"/>
      <c r="C2" s="36"/>
      <c r="D2" s="36"/>
      <c r="E2" s="36"/>
      <c r="F2" s="36"/>
      <c r="G2" s="36"/>
      <c r="H2" s="36"/>
      <c r="I2" s="36"/>
      <c r="J2" s="36"/>
    </row>
    <row r="4" spans="1:10" ht="27.75" customHeight="1" x14ac:dyDescent="0.25">
      <c r="A4" s="3" t="s">
        <v>140</v>
      </c>
      <c r="B4" s="3" t="s">
        <v>201</v>
      </c>
      <c r="C4" s="3" t="s">
        <v>189</v>
      </c>
      <c r="D4" s="3" t="s">
        <v>202</v>
      </c>
      <c r="E4" s="3" t="s">
        <v>203</v>
      </c>
      <c r="F4" s="3" t="s">
        <v>204</v>
      </c>
      <c r="G4" s="3" t="s">
        <v>205</v>
      </c>
      <c r="H4" s="3" t="s">
        <v>190</v>
      </c>
      <c r="I4" s="3" t="s">
        <v>206</v>
      </c>
      <c r="J4" s="3" t="s">
        <v>130</v>
      </c>
    </row>
    <row r="5" spans="1:10" ht="30" customHeight="1" x14ac:dyDescent="0.25">
      <c r="A5" s="2">
        <v>1</v>
      </c>
      <c r="B5" s="8" t="inlineStr">
        <is>
          <t xml:space="preserve">Reunião interna da equipe — seleção do parceiro e governança</t>
        </is>
      </c>
      <c r="C5" s="8"/>
      <c r="D5" s="10"/>
      <c r="E5" s="10"/>
      <c r="F5" s="10">
        <v>46252</v>
      </c>
      <c r="G5" s="10">
        <v>46252</v>
      </c>
      <c r="H5" s="9">
        <v>1</v>
      </c>
      <c r="I5" s="8"/>
      <c r="J5" s="8" t="inlineStr">
        <is>
          <t xml:space="preserve">Arthur Laranjeira</t>
        </is>
      </c>
    </row>
    <row r="6" spans="1:10" ht="30" customHeight="1" x14ac:dyDescent="0.25">
      <c r="A6" s="2">
        <v>2</v>
      </c>
      <c r="B6" s="8" t="inlineStr">
        <is>
          <t xml:space="preserve">Reunião de diagnóstico e alinhamento inicial com o parceiro</t>
        </is>
      </c>
      <c r="C6" s="8"/>
      <c r="D6" s="10"/>
      <c r="E6" s="10"/>
      <c r="F6" s="10">
        <v>46252</v>
      </c>
      <c r="G6" s="10">
        <v>46252</v>
      </c>
      <c r="H6" s="9">
        <v>1</v>
      </c>
      <c r="I6" s="8" t="inlineStr">
        <is>
          <t xml:space="preserve">1</t>
        </is>
      </c>
      <c r="J6" s="8" t="inlineStr">
        <is>
          <t xml:space="preserve">Arthur Laranjeira</t>
        </is>
      </c>
    </row>
    <row r="7" spans="1:10" x14ac:dyDescent="0.25">
      <c r="A7" s="2">
        <v>3</v>
      </c>
      <c r="B7" s="8" t="inlineStr">
        <is>
          <t xml:space="preserve">Reunião de validação de escopo e TAP v1.2 (marco)</t>
        </is>
      </c>
      <c r="C7" s="8"/>
      <c r="D7" s="10"/>
      <c r="E7" s="10"/>
      <c r="F7" s="10">
        <v>46252</v>
      </c>
      <c r="G7" s="10">
        <v>46252</v>
      </c>
      <c r="H7" s="9">
        <v>1</v>
      </c>
      <c r="I7" s="8" t="inlineStr">
        <is>
          <t xml:space="preserve">2</t>
        </is>
      </c>
      <c r="J7" s="8" t="inlineStr">
        <is>
          <t xml:space="preserve">Arthur Laranjeira</t>
        </is>
      </c>
    </row>
    <row r="8" spans="1:10" x14ac:dyDescent="0.25">
      <c r="A8" s="2">
        <v>4</v>
      </c>
      <c r="B8" s="8" t="inlineStr">
        <is>
          <t xml:space="preserve">Planejamento consolidado (marco)</t>
        </is>
      </c>
      <c r="C8" s="8"/>
      <c r="D8" s="10"/>
      <c r="E8" s="10">
        <v>46253</v>
      </c>
      <c r="F8" s="10"/>
      <c r="G8" s="10"/>
      <c r="H8" s="9"/>
      <c r="I8" s="8" t="inlineStr">
        <is>
          <t xml:space="preserve">3</t>
        </is>
      </c>
      <c r="J8" s="8" t="inlineStr">
        <is>
          <t xml:space="preserve">Arthur Laranjeira</t>
        </is>
      </c>
    </row>
    <row r="9" spans="1:10" x14ac:dyDescent="0.25">
      <c r="A9" s="2">
        <v>5</v>
      </c>
      <c r="B9" s="8" t="inlineStr">
        <is>
          <t xml:space="preserve">Coleta de imagens de serviços anteriores e depoimentos</t>
        </is>
      </c>
      <c r="C9" s="8"/>
      <c r="D9" s="10"/>
      <c r="E9" s="10">
        <v>46259</v>
      </c>
      <c r="F9" s="10"/>
      <c r="G9" s="10"/>
      <c r="H9" s="9"/>
      <c r="I9" s="8" t="inlineStr">
        <is>
          <t xml:space="preserve">3</t>
        </is>
      </c>
      <c r="J9" s="8" t="inlineStr">
        <is>
          <t xml:space="preserve">Arthur Laranjeira</t>
        </is>
      </c>
    </row>
    <row r="10" spans="1:10" ht="30" customHeight="1" x14ac:dyDescent="0.25">
      <c r="A10" s="2">
        <v>6</v>
      </c>
      <c r="B10" s="8" t="inlineStr">
        <is>
          <t xml:space="preserve">Estruturação do backlog de requisitos e tarefas</t>
        </is>
      </c>
      <c r="C10" s="8"/>
      <c r="D10" s="10"/>
      <c r="E10" s="10">
        <v>46266</v>
      </c>
      <c r="F10" s="10"/>
      <c r="G10" s="10"/>
      <c r="H10" s="9"/>
      <c r="I10" s="8" t="inlineStr">
        <is>
          <t xml:space="preserve">3</t>
        </is>
      </c>
      <c r="J10" s="8" t="inlineStr">
        <is>
          <t xml:space="preserve">Lucas De Gois; João Lucas</t>
        </is>
      </c>
    </row>
    <row r="11" spans="1:10" ht="30" customHeight="1" x14ac:dyDescent="0.25">
      <c r="A11" s="2">
        <v>7</v>
      </c>
      <c r="B11" s="8" t="inlineStr">
        <is>
          <t xml:space="preserve">Wireframe / protótipo de baixa fidelidade</t>
        </is>
      </c>
      <c r="C11" s="8"/>
      <c r="D11" s="10"/>
      <c r="E11" s="10">
        <v>46270</v>
      </c>
      <c r="F11" s="10"/>
      <c r="G11" s="10"/>
      <c r="H11" s="9"/>
      <c r="I11" s="8" t="inlineStr">
        <is>
          <t xml:space="preserve">5</t>
        </is>
      </c>
      <c r="J11" s="8" t="inlineStr">
        <is>
          <t xml:space="preserve">Gabriel Candido</t>
        </is>
      </c>
    </row>
    <row r="12" spans="1:10" ht="30" customHeight="1" x14ac:dyDescent="0.25">
      <c r="A12" s="2">
        <v>8</v>
      </c>
      <c r="B12" s="8" t="inlineStr">
        <is>
          <t xml:space="preserve">Reunião de validação do protótipo com o parceiro (data a confirmar)</t>
        </is>
      </c>
      <c r="C12" s="8"/>
      <c r="D12" s="10">
        <v>46277</v>
      </c>
      <c r="E12" s="10">
        <v>46277</v>
      </c>
      <c r="F12" s="10"/>
      <c r="G12" s="10"/>
      <c r="H12" s="9"/>
      <c r="I12" s="8" t="inlineStr">
        <is>
          <t xml:space="preserve">7</t>
        </is>
      </c>
      <c r="J12" s="8" t="inlineStr">
        <is>
          <t xml:space="preserve">Arthur Laranjeira; Gabriel Candido</t>
        </is>
      </c>
    </row>
    <row r="13" spans="1:10" ht="30" customHeight="1" x14ac:dyDescent="0.25">
      <c r="A13" s="2">
        <v>9</v>
      </c>
      <c r="B13" s="8" t="inlineStr">
        <is>
          <t xml:space="preserve">Protótipo validado (marco)</t>
        </is>
      </c>
      <c r="C13" s="8"/>
      <c r="D13" s="10"/>
      <c r="E13" s="10">
        <v>46280</v>
      </c>
      <c r="F13" s="10"/>
      <c r="G13" s="10"/>
      <c r="H13" s="9"/>
      <c r="I13" s="8" t="inlineStr">
        <is>
          <t xml:space="preserve">8</t>
        </is>
      </c>
      <c r="J13" s="8" t="inlineStr">
        <is>
          <t xml:space="preserve">Gabriel Candido</t>
        </is>
      </c>
    </row>
    <row r="14" spans="1:10" x14ac:dyDescent="0.25">
      <c r="A14" s="2">
        <v>10</v>
      </c>
      <c r="B14" s="8" t="inlineStr">
        <is>
          <t xml:space="preserve">MVP / testes (marco)</t>
        </is>
      </c>
      <c r="C14" s="8"/>
      <c r="D14" s="10"/>
      <c r="E14" s="10">
        <v>46315</v>
      </c>
      <c r="F14" s="10"/>
      <c r="G14" s="10"/>
      <c r="H14" s="9"/>
      <c r="I14" s="8" t="inlineStr">
        <is>
          <t xml:space="preserve">9</t>
        </is>
      </c>
      <c r="J14" s="8" t="inlineStr">
        <is>
          <t xml:space="preserve">Equipe discente</t>
        </is>
      </c>
    </row>
    <row r="15" spans="1:10" x14ac:dyDescent="0.25">
      <c r="A15" s="2">
        <v>11</v>
      </c>
      <c r="B15" s="8" t="inlineStr">
        <is>
          <t xml:space="preserve">Encerramento (marco)</t>
        </is>
      </c>
      <c r="C15" s="8"/>
      <c r="D15" s="10"/>
      <c r="E15" s="10">
        <v>46341</v>
      </c>
      <c r="F15" s="10"/>
      <c r="G15" s="10"/>
      <c r="H15" s="9"/>
      <c r="I15" s="8" t="inlineStr">
        <is>
          <t xml:space="preserve">10</t>
        </is>
      </c>
      <c r="J15" s="8" t="inlineStr">
        <is>
          <t xml:space="preserve">Arthur Laranjeira</t>
        </is>
      </c>
    </row>
    <row r="16" spans="1:10" ht="30" customHeight="1" x14ac:dyDescent="0.25">
      <c r="A16" s="2"/>
      <c r="B16" s="8"/>
      <c r="C16" s="8"/>
      <c r="D16" s="10"/>
      <c r="E16" s="10"/>
      <c r="F16" s="10"/>
      <c r="G16" s="10"/>
      <c r="H16" s="9"/>
      <c r="I16" s="8"/>
      <c r="J16" s="8"/>
    </row>
    <row r="17" spans="1:10" ht="30" customHeight="1" x14ac:dyDescent="0.25">
      <c r="A17" s="2"/>
      <c r="B17" s="8"/>
      <c r="C17" s="8"/>
      <c r="D17" s="10"/>
      <c r="E17" s="10"/>
      <c r="F17" s="10"/>
      <c r="G17" s="10"/>
      <c r="H17" s="9"/>
      <c r="I17" s="8"/>
      <c r="J17" s="8"/>
    </row>
    <row r="18" spans="1:10" ht="30" customHeight="1" x14ac:dyDescent="0.25">
      <c r="A18" s="2"/>
      <c r="B18" s="8"/>
      <c r="C18" s="8"/>
      <c r="D18" s="10"/>
      <c r="E18" s="10"/>
      <c r="F18" s="10"/>
      <c r="G18" s="10"/>
      <c r="H18" s="9"/>
      <c r="I18" s="8"/>
      <c r="J18" s="8"/>
    </row>
    <row r="19" spans="1:10" ht="30" customHeight="1" x14ac:dyDescent="0.25">
      <c r="A19" s="2"/>
      <c r="B19" s="8"/>
      <c r="C19" s="8"/>
      <c r="D19" s="10"/>
      <c r="E19" s="10"/>
      <c r="F19" s="10"/>
      <c r="G19" s="10"/>
      <c r="H19" s="9"/>
      <c r="I19" s="8"/>
      <c r="J19" s="8"/>
    </row>
    <row r="20" spans="1:10" ht="30" customHeight="1" x14ac:dyDescent="0.25">
      <c r="A20" s="2"/>
      <c r="B20" s="8"/>
      <c r="C20" s="8"/>
      <c r="D20" s="10"/>
      <c r="E20" s="10"/>
      <c r="F20" s="10"/>
      <c r="G20" s="10"/>
      <c r="H20" s="9"/>
      <c r="I20" s="8"/>
      <c r="J20" s="8"/>
    </row>
    <row r="21" spans="1:10" x14ac:dyDescent="0.25">
      <c r="A21" s="2"/>
      <c r="B21" s="8"/>
      <c r="C21" s="8"/>
      <c r="D21" s="10"/>
      <c r="E21" s="10"/>
      <c r="F21" s="10"/>
      <c r="G21" s="10"/>
      <c r="H21" s="9"/>
      <c r="I21" s="8"/>
      <c r="J21" s="8"/>
    </row>
    <row r="22" spans="1:10" ht="30" customHeight="1" x14ac:dyDescent="0.25">
      <c r="A22" s="2"/>
      <c r="B22" s="8"/>
      <c r="C22" s="8"/>
      <c r="D22" s="10"/>
      <c r="E22" s="10"/>
      <c r="F22" s="10"/>
      <c r="G22" s="10"/>
      <c r="H22" s="9"/>
      <c r="I22" s="8"/>
      <c r="J22" s="8"/>
    </row>
    <row r="23" spans="1:10" x14ac:dyDescent="0.25">
      <c r="A23" s="2"/>
      <c r="B23" s="8"/>
      <c r="C23" s="8"/>
      <c r="D23" s="10"/>
      <c r="E23" s="10"/>
      <c r="F23" s="10"/>
      <c r="G23" s="10"/>
      <c r="H23" s="9"/>
      <c r="I23" s="8"/>
      <c r="J23" s="8"/>
    </row>
    <row r="24" spans="1:10" x14ac:dyDescent="0.25">
      <c r="A24" s="2"/>
      <c r="B24" s="8"/>
      <c r="C24" s="8"/>
      <c r="D24" s="10"/>
      <c r="E24" s="10"/>
      <c r="F24" s="10"/>
      <c r="G24" s="10"/>
      <c r="H24" s="9"/>
      <c r="I24" s="8"/>
      <c r="J24" s="8"/>
    </row>
    <row r="25" spans="1:10" x14ac:dyDescent="0.25">
      <c r="A25" s="2"/>
      <c r="B25" s="8"/>
      <c r="C25" s="8"/>
      <c r="D25" s="10"/>
      <c r="E25" s="10"/>
      <c r="F25" s="10"/>
      <c r="G25" s="10"/>
      <c r="H25" s="9"/>
      <c r="I25" s="8"/>
      <c r="J25" s="8"/>
    </row>
    <row r="26" spans="1:10" x14ac:dyDescent="0.25">
      <c r="A26" s="2"/>
      <c r="B26" s="8"/>
      <c r="C26" s="8"/>
      <c r="D26" s="10"/>
      <c r="E26" s="10"/>
      <c r="F26" s="10"/>
      <c r="G26" s="10"/>
      <c r="H26" s="9"/>
      <c r="I26" s="8"/>
      <c r="J26" s="8"/>
    </row>
    <row r="27" spans="1:10" ht="30" customHeight="1" x14ac:dyDescent="0.25">
      <c r="A27" s="2"/>
      <c r="B27" s="8"/>
      <c r="C27" s="8"/>
      <c r="D27" s="10"/>
      <c r="E27" s="10"/>
      <c r="F27" s="10"/>
      <c r="G27" s="10"/>
      <c r="H27" s="9"/>
      <c r="I27" s="8"/>
      <c r="J27" s="8"/>
    </row>
    <row r="28" spans="1:10" ht="30" customHeight="1" x14ac:dyDescent="0.25">
      <c r="A28" s="2"/>
      <c r="B28" s="8"/>
      <c r="C28" s="8"/>
      <c r="D28" s="10"/>
      <c r="E28" s="10"/>
      <c r="F28" s="10"/>
      <c r="G28" s="10"/>
      <c r="H28" s="9"/>
      <c r="I28" s="8"/>
      <c r="J28" s="8"/>
    </row>
    <row r="29" spans="1:10" ht="30" customHeight="1" x14ac:dyDescent="0.25">
      <c r="A29" s="2"/>
      <c r="B29" s="8"/>
      <c r="C29" s="8"/>
      <c r="D29" s="10"/>
      <c r="E29" s="10"/>
      <c r="F29" s="10"/>
      <c r="G29" s="10"/>
      <c r="H29" s="9"/>
      <c r="I29" s="8"/>
      <c r="J29" s="8"/>
    </row>
    <row r="30" spans="1:10" ht="30" customHeight="1" x14ac:dyDescent="0.25">
      <c r="A30" s="2"/>
      <c r="B30" s="8"/>
      <c r="C30" s="8"/>
      <c r="D30" s="10"/>
      <c r="E30" s="10"/>
      <c r="F30" s="10"/>
      <c r="G30" s="10"/>
      <c r="H30" s="9"/>
      <c r="I30" s="8"/>
      <c r="J30" s="8"/>
    </row>
    <row r="31" spans="1:10" ht="30" customHeight="1" x14ac:dyDescent="0.25">
      <c r="A31" s="2"/>
      <c r="B31" s="8"/>
      <c r="C31" s="8"/>
      <c r="D31" s="10"/>
      <c r="E31" s="10"/>
      <c r="F31" s="10"/>
      <c r="G31" s="10"/>
      <c r="H31" s="9"/>
      <c r="I31" s="8"/>
      <c r="J31" s="8"/>
    </row>
    <row r="32" spans="1:10" x14ac:dyDescent="0.25">
      <c r="A32" s="2"/>
      <c r="B32" s="8"/>
      <c r="C32" s="8"/>
      <c r="D32" s="10"/>
      <c r="E32" s="10"/>
      <c r="F32" s="10"/>
      <c r="G32" s="10"/>
      <c r="H32" s="9"/>
      <c r="I32" s="8"/>
      <c r="J32" s="8"/>
    </row>
    <row r="33" spans="1:10" x14ac:dyDescent="0.25">
      <c r="A33" s="2"/>
      <c r="B33" s="8"/>
      <c r="C33" s="8"/>
      <c r="D33" s="10"/>
      <c r="E33" s="10"/>
      <c r="F33" s="10"/>
      <c r="G33" s="10"/>
      <c r="H33" s="9"/>
      <c r="I33" s="8"/>
      <c r="J33" s="8"/>
    </row>
    <row r="34" spans="1:10" x14ac:dyDescent="0.25">
      <c r="A34" s="2"/>
      <c r="B34" s="8"/>
      <c r="C34" s="8"/>
      <c r="D34" s="10"/>
      <c r="E34" s="10"/>
      <c r="F34" s="10"/>
      <c r="G34" s="10"/>
      <c r="H34" s="9"/>
      <c r="I34" s="8"/>
      <c r="J34" s="8"/>
    </row>
    <row r="35" spans="1:10" ht="30" customHeight="1" x14ac:dyDescent="0.25">
      <c r="A35" s="2"/>
      <c r="B35" s="8"/>
      <c r="C35" s="8"/>
      <c r="D35" s="10"/>
      <c r="E35" s="10"/>
      <c r="F35" s="10"/>
      <c r="G35" s="10"/>
      <c r="H35" s="9"/>
      <c r="I35" s="8"/>
      <c r="J35" s="8"/>
    </row>
    <row r="36" spans="1:10" ht="30" customHeight="1" x14ac:dyDescent="0.25">
      <c r="A36" s="2"/>
      <c r="B36" s="8"/>
      <c r="C36" s="8"/>
      <c r="D36" s="10"/>
      <c r="E36" s="10"/>
      <c r="F36" s="10"/>
      <c r="G36" s="10"/>
      <c r="H36" s="9"/>
      <c r="I36" s="8"/>
      <c r="J36" s="8"/>
    </row>
    <row r="37" spans="1:10" x14ac:dyDescent="0.25">
      <c r="A37" s="2"/>
      <c r="B37" s="8"/>
      <c r="C37" s="8"/>
      <c r="D37" s="10"/>
      <c r="E37" s="10"/>
      <c r="F37" s="10"/>
      <c r="G37" s="10"/>
      <c r="H37" s="9"/>
      <c r="I37" s="8"/>
      <c r="J37" s="8"/>
    </row>
    <row r="38" spans="1:10" x14ac:dyDescent="0.25">
      <c r="A38" s="2"/>
      <c r="B38" s="8"/>
      <c r="C38" s="8"/>
      <c r="D38" s="10"/>
      <c r="E38" s="10"/>
      <c r="F38" s="10"/>
      <c r="G38" s="10"/>
      <c r="H38" s="9"/>
      <c r="I38" s="8"/>
      <c r="J38" s="8"/>
    </row>
    <row r="39" spans="1:10" x14ac:dyDescent="0.25">
      <c r="A39" s="2"/>
      <c r="B39" s="8"/>
      <c r="C39" s="8"/>
      <c r="D39" s="10"/>
      <c r="E39" s="10"/>
      <c r="F39" s="10"/>
      <c r="G39" s="10"/>
      <c r="H39" s="9"/>
      <c r="I39" s="8"/>
      <c r="J39" s="8"/>
    </row>
    <row r="40" spans="1:10" x14ac:dyDescent="0.25">
      <c r="A40" s="2"/>
      <c r="B40" s="8"/>
      <c r="C40" s="8"/>
      <c r="D40" s="10"/>
      <c r="E40" s="10"/>
      <c r="F40" s="10"/>
      <c r="G40" s="10"/>
      <c r="H40" s="9"/>
      <c r="I40" s="8"/>
      <c r="J40" s="8"/>
    </row>
    <row r="41" spans="1:10" x14ac:dyDescent="0.25">
      <c r="A41" s="2"/>
      <c r="B41" s="8"/>
      <c r="C41" s="8"/>
      <c r="D41" s="10"/>
      <c r="E41" s="10"/>
      <c r="F41" s="10"/>
      <c r="G41" s="10"/>
      <c r="H41" s="9"/>
      <c r="I41" s="8"/>
      <c r="J41" s="8"/>
    </row>
    <row r="42" spans="1:10" x14ac:dyDescent="0.25">
      <c r="A42" s="2"/>
      <c r="B42" s="8"/>
      <c r="C42" s="8"/>
      <c r="D42" s="10"/>
      <c r="E42" s="10"/>
      <c r="F42" s="10"/>
      <c r="G42" s="10"/>
      <c r="H42" s="9"/>
      <c r="I42" s="8"/>
      <c r="J42" s="8"/>
    </row>
    <row r="43" spans="1:10" x14ac:dyDescent="0.25">
      <c r="A43" s="2"/>
      <c r="B43" s="8"/>
      <c r="C43" s="8"/>
      <c r="D43" s="10"/>
      <c r="E43" s="10"/>
      <c r="F43" s="10"/>
      <c r="G43" s="10"/>
      <c r="H43" s="9"/>
      <c r="I43" s="8"/>
      <c r="J43" s="8"/>
    </row>
    <row r="45" spans="1:10" ht="42" customHeight="1" x14ac:dyDescent="0.25">
      <c r="A45" s="35" t="inlineStr">
        <is>
          <t xml:space="preserve">Fonte: marcos e pendências da Ata/TAP v1.2 e Diário de Bordo. Datas de início planejadas e progresso das atividades futuras não constam nos documentos.</t>
        </is>
      </c>
      <c r="B45" s="36"/>
      <c r="C45" s="36"/>
      <c r="D45" s="36"/>
      <c r="E45" s="36"/>
      <c r="F45" s="36"/>
      <c r="G45" s="36"/>
      <c r="H45" s="36"/>
      <c r="I45" s="36"/>
      <c r="J45" s="36"/>
    </row>
  </sheetData>
  <mergeCells count="3">
    <mergeCell ref="A1:J1"/>
    <mergeCell ref="A45:J45"/>
    <mergeCell ref="A2:J2"/>
  </mergeCells>
  <conditionalFormatting sqref="H5:H43"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</cfRule>
  </conditionalFormatting>
  <dataValidations count="2">
    <dataValidation type="list" sqref="C5:C43" xr:uid="{00000000-0002-0000-0700-000000000000}">
      <formula1>"Pré,1,2,3,4,5,6,7,8,9,10,11,12,13,14,15,16,17,18,19,20"</formula1>
      <formula2>0</formula2>
    </dataValidation>
    <dataValidation type="list" sqref="H5:H43" xr:uid="{00000000-0002-0000-0700-000001000000}">
      <formula1>"0%,25%,50%,75%,100%"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1"/>
  <sheetViews>
    <sheetView topLeftCell="A9" zoomScaleNormal="100" workbookViewId="0">
      <selection activeCell="E12" sqref="E12"/>
    </sheetView>
  </sheetViews>
  <sheetFormatPr defaultColWidth="8.7109375" defaultRowHeight="15" x14ac:dyDescent="0.25"/>
  <cols>
    <col min="1" max="1" width="8" customWidth="1"/>
    <col min="2" max="2" width="18" customWidth="1"/>
    <col min="3" max="3" width="34" customWidth="1"/>
    <col min="4" max="4" width="10" customWidth="1"/>
    <col min="5" max="7" width="18" customWidth="1"/>
    <col min="8" max="8" width="16" customWidth="1"/>
    <col min="9" max="9" width="36" customWidth="1"/>
    <col min="10" max="10" width="32" customWidth="1"/>
  </cols>
  <sheetData>
    <row r="1" spans="1:10" ht="30" customHeight="1" x14ac:dyDescent="0.25">
      <c r="A1" s="37" t="s">
        <v>214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1.75" customHeight="1" x14ac:dyDescent="0.25">
      <c r="A2" s="35" t="s">
        <v>215</v>
      </c>
      <c r="B2" s="36"/>
      <c r="C2" s="36"/>
      <c r="D2" s="36"/>
      <c r="E2" s="36"/>
      <c r="F2" s="36"/>
      <c r="G2" s="36"/>
      <c r="H2" s="36"/>
      <c r="I2" s="36"/>
      <c r="J2" s="36"/>
    </row>
    <row r="4" spans="1:10" ht="27.75" customHeight="1" x14ac:dyDescent="0.25">
      <c r="A4" s="3" t="s">
        <v>140</v>
      </c>
      <c r="B4" s="3" t="s">
        <v>216</v>
      </c>
      <c r="C4" s="3" t="s">
        <v>217</v>
      </c>
      <c r="D4" s="3" t="s">
        <v>218</v>
      </c>
      <c r="E4" s="3" t="s">
        <v>219</v>
      </c>
      <c r="F4" s="3" t="s">
        <v>220</v>
      </c>
      <c r="G4" s="3" t="s">
        <v>221</v>
      </c>
      <c r="H4" s="3" t="s">
        <v>222</v>
      </c>
      <c r="I4" s="3" t="s">
        <v>223</v>
      </c>
      <c r="J4" s="3" t="s">
        <v>21</v>
      </c>
    </row>
    <row r="5" spans="1:10" ht="30" x14ac:dyDescent="0.25">
      <c r="A5" s="2">
        <v>1</v>
      </c>
      <c r="B5" s="27" t="inlineStr">
        <is>
          <t xml:space="preserve">Desenvolvimento</t>
        </is>
      </c>
      <c r="C5" s="27" t="inlineStr">
        <is>
          <t xml:space="preserve">Desenvolvimento da landing page (execução acadêmica)</t>
        </is>
      </c>
      <c r="D5" s="27">
        <v>1</v>
      </c>
      <c r="E5" s="28">
        <v>0</v>
      </c>
      <c r="F5" s="12">
        <f t="shared" ref="F5:F33" si="0">IFERROR(D5*E5,0)</f>
      </c>
      <c r="G5" s="28">
        <v>0</v>
      </c>
      <c r="H5" s="12">
        <f t="shared" ref="H5:H33" si="1">IFERROR(G5-F5,0)</f>
      </c>
      <c r="I5" s="27" t="inlineStr">
        <is>
          <t xml:space="preserve">TAP v1.2 — item 11</t>
        </is>
      </c>
      <c r="J5" s="27" t="inlineStr">
        <is>
          <t xml:space="preserve">Sem custos diretos de desenvolvimento</t>
        </is>
      </c>
    </row>
    <row r="6" spans="1:10" ht="30" x14ac:dyDescent="0.25">
      <c r="A6" s="2">
        <v>2</v>
      </c>
      <c r="B6" s="27" t="inlineStr">
        <is>
          <t xml:space="preserve">Hospedagem e infraestrutura</t>
        </is>
      </c>
      <c r="C6" s="27" t="inlineStr">
        <is>
          <t xml:space="preserve">Hospedagem do MVP (GitHub Pages / Vercel / Netlify)</t>
        </is>
      </c>
      <c r="D6" s="27">
        <v>1</v>
      </c>
      <c r="E6" s="28">
        <v>0</v>
      </c>
      <c r="F6" s="12">
        <f t="shared" si="0"/>
      </c>
      <c r="G6" s="28">
        <v>0</v>
      </c>
      <c r="H6" s="12">
        <f t="shared" si="1"/>
      </c>
      <c r="I6" s="27" t="inlineStr">
        <is>
          <t xml:space="preserve">TAP v1.2 — item 11</t>
        </is>
      </c>
      <c r="J6" s="27" t="inlineStr">
        <is>
          <t xml:space="preserve">Plataforma gratuita</t>
        </is>
      </c>
    </row>
    <row r="7" spans="1:10" ht="30" x14ac:dyDescent="0.25">
      <c r="A7" s="2">
        <v>3</v>
      </c>
      <c r="B7" s="27" t="inlineStr">
        <is>
          <t xml:space="preserve">Software/SaaS</t>
        </is>
      </c>
      <c r="C7" s="27" t="inlineStr">
        <is>
          <t xml:space="preserve">Domínio temporário</t>
        </is>
      </c>
      <c r="D7" s="27">
        <v>1</v>
      </c>
      <c r="E7" s="28">
        <v>0</v>
      </c>
      <c r="F7" s="12">
        <f t="shared" si="0"/>
      </c>
      <c r="G7" s="28">
        <v>0</v>
      </c>
      <c r="H7" s="12">
        <f t="shared" si="1"/>
      </c>
      <c r="I7" s="27" t="inlineStr">
        <is>
          <t xml:space="preserve">TAP v1.2 — item 11</t>
        </is>
      </c>
      <c r="J7" s="27" t="inlineStr">
        <is>
          <t xml:space="preserve">Domínio temporário gratuito</t>
        </is>
      </c>
    </row>
    <row r="8" spans="1:10" ht="30" x14ac:dyDescent="0.25">
      <c r="A8" s="2">
        <v>4</v>
      </c>
      <c r="B8" s="27"/>
      <c r="C8" s="27"/>
      <c r="D8" s="27">
        <v>1</v>
      </c>
      <c r="E8" s="28"/>
      <c r="F8" s="12">
        <f t="shared" si="0"/>
      </c>
      <c r="G8" s="28"/>
      <c r="H8" s="12">
        <f t="shared" si="1"/>
      </c>
      <c r="I8" s="27"/>
      <c r="J8" s="27"/>
    </row>
    <row r="9" spans="1:10" ht="30" x14ac:dyDescent="0.25">
      <c r="A9" s="2">
        <v>5</v>
      </c>
      <c r="B9" s="27"/>
      <c r="C9" s="27"/>
      <c r="D9" s="27">
        <v>1</v>
      </c>
      <c r="E9" s="28"/>
      <c r="F9" s="12">
        <f t="shared" si="0"/>
      </c>
      <c r="G9" s="28"/>
      <c r="H9" s="12">
        <f t="shared" si="1"/>
      </c>
      <c r="I9" s="27"/>
      <c r="J9" s="27"/>
    </row>
    <row r="10" spans="1:10" ht="30" x14ac:dyDescent="0.25">
      <c r="A10" s="2">
        <v>6</v>
      </c>
      <c r="B10" s="27"/>
      <c r="C10" s="27"/>
      <c r="D10" s="27">
        <v>1</v>
      </c>
      <c r="E10" s="28"/>
      <c r="F10" s="12">
        <f t="shared" si="0"/>
      </c>
      <c r="G10" s="28"/>
      <c r="H10" s="12">
        <f t="shared" si="1"/>
      </c>
      <c r="I10" s="27"/>
      <c r="J10" s="27"/>
    </row>
    <row r="11" spans="1:10" x14ac:dyDescent="0.25">
      <c r="A11" s="2">
        <v>7</v>
      </c>
      <c r="B11" s="27"/>
      <c r="C11" s="27"/>
      <c r="D11" s="27">
        <v>1</v>
      </c>
      <c r="E11" s="28"/>
      <c r="F11" s="12">
        <f t="shared" si="0"/>
      </c>
      <c r="G11" s="28"/>
      <c r="H11" s="12">
        <f t="shared" si="1"/>
      </c>
      <c r="I11" s="27"/>
      <c r="J11" s="27"/>
    </row>
    <row r="12" spans="1:10" ht="30" x14ac:dyDescent="0.25">
      <c r="A12" s="2">
        <v>8</v>
      </c>
      <c r="B12" s="27"/>
      <c r="C12" s="27"/>
      <c r="D12" s="27">
        <v>1</v>
      </c>
      <c r="E12" s="28"/>
      <c r="F12" s="12">
        <f t="shared" si="0"/>
      </c>
      <c r="G12" s="28"/>
      <c r="H12" s="12">
        <f t="shared" si="1"/>
      </c>
      <c r="I12" s="27"/>
      <c r="J12" s="27"/>
    </row>
    <row r="13" spans="1:10" x14ac:dyDescent="0.25">
      <c r="A13" s="2">
        <v>9</v>
      </c>
      <c r="B13" s="27"/>
      <c r="C13" s="27"/>
      <c r="D13" s="27">
        <v>1</v>
      </c>
      <c r="E13" s="28"/>
      <c r="F13" s="12">
        <f t="shared" si="0"/>
      </c>
      <c r="G13" s="28"/>
      <c r="H13" s="12">
        <f t="shared" si="1"/>
      </c>
      <c r="I13" s="27"/>
      <c r="J13" s="27"/>
    </row>
    <row r="14" spans="1:10" x14ac:dyDescent="0.25">
      <c r="A14" s="2">
        <v>10</v>
      </c>
      <c r="B14" s="27"/>
      <c r="C14" s="27"/>
      <c r="D14" s="27">
        <v>1</v>
      </c>
      <c r="E14" s="28"/>
      <c r="F14" s="12">
        <f t="shared" si="0"/>
      </c>
      <c r="G14" s="28"/>
      <c r="H14" s="12">
        <f t="shared" si="1"/>
      </c>
      <c r="I14" s="27"/>
      <c r="J14" s="27"/>
    </row>
    <row r="15" spans="1:10" x14ac:dyDescent="0.25">
      <c r="A15" s="2">
        <v>11</v>
      </c>
      <c r="B15" s="8"/>
      <c r="C15" s="8"/>
      <c r="D15" s="8">
        <v>1</v>
      </c>
      <c r="E15" s="11"/>
      <c r="F15" s="12">
        <f t="shared" si="0"/>
      </c>
      <c r="G15" s="11"/>
      <c r="H15" s="12">
        <f t="shared" si="1"/>
      </c>
      <c r="I15" s="8"/>
      <c r="J15" s="8"/>
    </row>
    <row r="16" spans="1:10" x14ac:dyDescent="0.25">
      <c r="A16" s="2">
        <v>12</v>
      </c>
      <c r="B16" s="8"/>
      <c r="C16" s="8"/>
      <c r="D16" s="8">
        <v>1</v>
      </c>
      <c r="E16" s="11"/>
      <c r="F16" s="12">
        <f t="shared" si="0"/>
      </c>
      <c r="G16" s="11"/>
      <c r="H16" s="12">
        <f t="shared" si="1"/>
      </c>
      <c r="I16" s="8"/>
      <c r="J16" s="8"/>
    </row>
    <row r="17" spans="1:10" x14ac:dyDescent="0.25">
      <c r="A17" s="2">
        <v>13</v>
      </c>
      <c r="B17" s="8"/>
      <c r="C17" s="8"/>
      <c r="D17" s="8">
        <v>1</v>
      </c>
      <c r="E17" s="11"/>
      <c r="F17" s="12">
        <f t="shared" si="0"/>
      </c>
      <c r="G17" s="11"/>
      <c r="H17" s="12">
        <f t="shared" si="1"/>
      </c>
      <c r="I17" s="8"/>
      <c r="J17" s="8"/>
    </row>
    <row r="18" spans="1:10" x14ac:dyDescent="0.25">
      <c r="A18" s="2">
        <v>14</v>
      </c>
      <c r="B18" s="8"/>
      <c r="C18" s="8"/>
      <c r="D18" s="8">
        <v>1</v>
      </c>
      <c r="E18" s="11"/>
      <c r="F18" s="12">
        <f t="shared" si="0"/>
      </c>
      <c r="G18" s="11"/>
      <c r="H18" s="12">
        <f t="shared" si="1"/>
      </c>
      <c r="I18" s="8"/>
      <c r="J18" s="8"/>
    </row>
    <row r="19" spans="1:10" x14ac:dyDescent="0.25">
      <c r="A19" s="2">
        <v>15</v>
      </c>
      <c r="B19" s="8"/>
      <c r="C19" s="8"/>
      <c r="D19" s="8">
        <v>1</v>
      </c>
      <c r="E19" s="11"/>
      <c r="F19" s="12">
        <f t="shared" si="0"/>
      </c>
      <c r="G19" s="11"/>
      <c r="H19" s="12">
        <f t="shared" si="1"/>
      </c>
      <c r="I19" s="8"/>
      <c r="J19" s="8"/>
    </row>
    <row r="20" spans="1:10" x14ac:dyDescent="0.25">
      <c r="A20" s="2">
        <v>16</v>
      </c>
      <c r="B20" s="8"/>
      <c r="C20" s="8"/>
      <c r="D20" s="8">
        <v>1</v>
      </c>
      <c r="E20" s="11"/>
      <c r="F20" s="12">
        <f t="shared" si="0"/>
      </c>
      <c r="G20" s="11"/>
      <c r="H20" s="12">
        <f t="shared" si="1"/>
      </c>
      <c r="I20" s="8"/>
      <c r="J20" s="8"/>
    </row>
    <row r="21" spans="1:10" x14ac:dyDescent="0.25">
      <c r="A21" s="2">
        <v>17</v>
      </c>
      <c r="B21" s="8"/>
      <c r="C21" s="8"/>
      <c r="D21" s="8">
        <v>1</v>
      </c>
      <c r="E21" s="11"/>
      <c r="F21" s="12">
        <f t="shared" si="0"/>
      </c>
      <c r="G21" s="11"/>
      <c r="H21" s="12">
        <f t="shared" si="1"/>
      </c>
      <c r="I21" s="8"/>
      <c r="J21" s="8"/>
    </row>
    <row r="22" spans="1:10" x14ac:dyDescent="0.25">
      <c r="A22" s="2">
        <v>18</v>
      </c>
      <c r="B22" s="8"/>
      <c r="C22" s="8"/>
      <c r="D22" s="8">
        <v>1</v>
      </c>
      <c r="E22" s="11"/>
      <c r="F22" s="12">
        <f t="shared" si="0"/>
      </c>
      <c r="G22" s="11"/>
      <c r="H22" s="12">
        <f t="shared" si="1"/>
      </c>
      <c r="I22" s="8"/>
      <c r="J22" s="8"/>
    </row>
    <row r="23" spans="1:10" x14ac:dyDescent="0.25">
      <c r="A23" s="2">
        <v>19</v>
      </c>
      <c r="B23" s="8"/>
      <c r="C23" s="8"/>
      <c r="D23" s="8">
        <v>1</v>
      </c>
      <c r="E23" s="11"/>
      <c r="F23" s="12">
        <f t="shared" si="0"/>
      </c>
      <c r="G23" s="11"/>
      <c r="H23" s="12">
        <f t="shared" si="1"/>
      </c>
      <c r="I23" s="8"/>
      <c r="J23" s="8"/>
    </row>
    <row r="24" spans="1:10" x14ac:dyDescent="0.25">
      <c r="A24" s="2">
        <v>20</v>
      </c>
      <c r="B24" s="8"/>
      <c r="C24" s="8"/>
      <c r="D24" s="8">
        <v>1</v>
      </c>
      <c r="E24" s="11"/>
      <c r="F24" s="12">
        <f t="shared" si="0"/>
      </c>
      <c r="G24" s="11"/>
      <c r="H24" s="12">
        <f t="shared" si="1"/>
      </c>
      <c r="I24" s="8"/>
      <c r="J24" s="8"/>
    </row>
    <row r="25" spans="1:10" x14ac:dyDescent="0.25">
      <c r="A25" s="2">
        <v>21</v>
      </c>
      <c r="B25" s="8"/>
      <c r="C25" s="8"/>
      <c r="D25" s="8">
        <v>1</v>
      </c>
      <c r="E25" s="11"/>
      <c r="F25" s="12">
        <f t="shared" si="0"/>
      </c>
      <c r="G25" s="11"/>
      <c r="H25" s="12">
        <f t="shared" si="1"/>
      </c>
      <c r="I25" s="8"/>
      <c r="J25" s="8"/>
    </row>
    <row r="26" spans="1:10" x14ac:dyDescent="0.25">
      <c r="A26" s="2">
        <v>22</v>
      </c>
      <c r="B26" s="8"/>
      <c r="C26" s="8"/>
      <c r="D26" s="8">
        <v>1</v>
      </c>
      <c r="E26" s="11"/>
      <c r="F26" s="12">
        <f t="shared" si="0"/>
      </c>
      <c r="G26" s="11"/>
      <c r="H26" s="12">
        <f t="shared" si="1"/>
      </c>
      <c r="I26" s="8"/>
      <c r="J26" s="8"/>
    </row>
    <row r="27" spans="1:10" x14ac:dyDescent="0.25">
      <c r="A27" s="2">
        <v>23</v>
      </c>
      <c r="B27" s="8"/>
      <c r="C27" s="8"/>
      <c r="D27" s="8">
        <v>1</v>
      </c>
      <c r="E27" s="11"/>
      <c r="F27" s="12">
        <f t="shared" si="0"/>
      </c>
      <c r="G27" s="11"/>
      <c r="H27" s="12">
        <f t="shared" si="1"/>
      </c>
      <c r="I27" s="8"/>
      <c r="J27" s="8"/>
    </row>
    <row r="28" spans="1:10" x14ac:dyDescent="0.25">
      <c r="A28" s="2">
        <v>24</v>
      </c>
      <c r="B28" s="8"/>
      <c r="C28" s="8"/>
      <c r="D28" s="8">
        <v>1</v>
      </c>
      <c r="E28" s="11"/>
      <c r="F28" s="12">
        <f t="shared" si="0"/>
      </c>
      <c r="G28" s="11"/>
      <c r="H28" s="12">
        <f t="shared" si="1"/>
      </c>
      <c r="I28" s="8"/>
      <c r="J28" s="8"/>
    </row>
    <row r="29" spans="1:10" x14ac:dyDescent="0.25">
      <c r="A29" s="2">
        <v>25</v>
      </c>
      <c r="B29" s="8"/>
      <c r="C29" s="8"/>
      <c r="D29" s="8">
        <v>1</v>
      </c>
      <c r="E29" s="11"/>
      <c r="F29" s="12">
        <f t="shared" si="0"/>
      </c>
      <c r="G29" s="11"/>
      <c r="H29" s="12">
        <f t="shared" si="1"/>
      </c>
      <c r="I29" s="8"/>
      <c r="J29" s="8"/>
    </row>
    <row r="30" spans="1:10" x14ac:dyDescent="0.25">
      <c r="A30" s="2">
        <v>26</v>
      </c>
      <c r="B30" s="8"/>
      <c r="C30" s="8"/>
      <c r="D30" s="8">
        <v>1</v>
      </c>
      <c r="E30" s="11"/>
      <c r="F30" s="12">
        <f t="shared" si="0"/>
      </c>
      <c r="G30" s="11"/>
      <c r="H30" s="12">
        <f t="shared" si="1"/>
      </c>
      <c r="I30" s="8"/>
      <c r="J30" s="8"/>
    </row>
    <row r="31" spans="1:10" x14ac:dyDescent="0.25">
      <c r="A31" s="2">
        <v>27</v>
      </c>
      <c r="B31" s="8"/>
      <c r="C31" s="8"/>
      <c r="D31" s="8">
        <v>1</v>
      </c>
      <c r="E31" s="11"/>
      <c r="F31" s="12">
        <f t="shared" si="0"/>
      </c>
      <c r="G31" s="11"/>
      <c r="H31" s="12">
        <f t="shared" si="1"/>
      </c>
      <c r="I31" s="8"/>
      <c r="J31" s="8"/>
    </row>
    <row r="32" spans="1:10" x14ac:dyDescent="0.25">
      <c r="A32" s="2">
        <v>28</v>
      </c>
      <c r="B32" s="8"/>
      <c r="C32" s="8"/>
      <c r="D32" s="8">
        <v>1</v>
      </c>
      <c r="E32" s="11"/>
      <c r="F32" s="12">
        <f t="shared" si="0"/>
      </c>
      <c r="G32" s="11"/>
      <c r="H32" s="12">
        <f t="shared" si="1"/>
      </c>
      <c r="I32" s="8"/>
      <c r="J32" s="8"/>
    </row>
    <row r="33" spans="1:10" x14ac:dyDescent="0.25">
      <c r="A33" s="2">
        <v>29</v>
      </c>
      <c r="B33" s="8"/>
      <c r="C33" s="8"/>
      <c r="D33" s="8">
        <v>1</v>
      </c>
      <c r="E33" s="11"/>
      <c r="F33" s="12">
        <f t="shared" si="0"/>
      </c>
      <c r="G33" s="11"/>
      <c r="H33" s="12">
        <f t="shared" si="1"/>
      </c>
      <c r="I33" s="8"/>
      <c r="J33" s="8"/>
    </row>
    <row r="36" spans="1:10" ht="21.75" customHeight="1" x14ac:dyDescent="0.25">
      <c r="A36" s="38" t="s">
        <v>224</v>
      </c>
      <c r="B36" s="36"/>
      <c r="C36" s="36"/>
      <c r="D36" s="36"/>
      <c r="E36" s="36"/>
      <c r="F36" s="36"/>
      <c r="G36" s="36"/>
      <c r="H36" s="36"/>
      <c r="I36" s="36"/>
      <c r="J36" s="36"/>
    </row>
    <row r="37" spans="1:10" ht="45" customHeight="1" x14ac:dyDescent="0.25">
      <c r="A37" s="2" t="s">
        <v>225</v>
      </c>
      <c r="B37" s="12">
        <f>SUM(F5:F33)</f>
      </c>
    </row>
    <row r="38" spans="1:10" ht="45" customHeight="1" x14ac:dyDescent="0.25">
      <c r="A38" s="2" t="s">
        <v>226</v>
      </c>
      <c r="B38" s="12">
        <f>SUM(G5:G33)</f>
      </c>
    </row>
    <row r="39" spans="1:10" ht="30" customHeight="1" x14ac:dyDescent="0.25">
      <c r="A39" s="2" t="s">
        <v>227</v>
      </c>
      <c r="B39" s="12">
        <f>B38-B37</f>
      </c>
    </row>
    <row r="40" spans="1:10" ht="75" customHeight="1" x14ac:dyDescent="0.25">
      <c r="A40" s="2" t="s">
        <v>228</v>
      </c>
      <c r="B40" s="28"/>
    </row>
    <row r="41" spans="1:10" ht="90" customHeight="1" x14ac:dyDescent="0.25">
      <c r="A41" s="2" t="s">
        <v>229</v>
      </c>
      <c r="B41" s="12">
        <f>MAX(B40-B37,0)</f>
      </c>
    </row>
  </sheetData>
  <mergeCells count="3">
    <mergeCell ref="A1:J1"/>
    <mergeCell ref="A36:J36"/>
    <mergeCell ref="A2:J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5"/>
  <sheetViews>
    <sheetView topLeftCell="A14" zoomScaleNormal="100" workbookViewId="0">
      <selection activeCell="L18" sqref="L18"/>
    </sheetView>
  </sheetViews>
  <sheetFormatPr defaultColWidth="8.7109375" defaultRowHeight="15" x14ac:dyDescent="0.25"/>
  <cols>
    <col min="1" max="1" width="9" customWidth="1"/>
    <col min="2" max="2" width="14" customWidth="1"/>
    <col min="3" max="3" width="38" customWidth="1"/>
    <col min="4" max="4" width="32" customWidth="1"/>
    <col min="5" max="7" width="12" customWidth="1"/>
    <col min="8" max="8" width="42" customWidth="1"/>
    <col min="9" max="9" width="20" customWidth="1"/>
    <col min="10" max="10" width="30" customWidth="1"/>
    <col min="11" max="11" width="20" customWidth="1"/>
  </cols>
  <sheetData>
    <row r="1" spans="1:11" ht="30" customHeight="1" x14ac:dyDescent="0.25">
      <c r="A1" s="37" t="s">
        <v>230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21.75" customHeight="1" x14ac:dyDescent="0.25">
      <c r="A2" s="35" t="s">
        <v>231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4" spans="1:11" ht="27.75" customHeight="1" x14ac:dyDescent="0.25">
      <c r="A4" s="3" t="s">
        <v>140</v>
      </c>
      <c r="B4" s="3" t="s">
        <v>127</v>
      </c>
      <c r="C4" s="3" t="s">
        <v>232</v>
      </c>
      <c r="D4" s="3" t="s">
        <v>233</v>
      </c>
      <c r="E4" s="3" t="s">
        <v>234</v>
      </c>
      <c r="F4" s="3" t="s">
        <v>235</v>
      </c>
      <c r="G4" s="3" t="s">
        <v>236</v>
      </c>
      <c r="H4" s="3" t="s">
        <v>237</v>
      </c>
      <c r="I4" s="3" t="s">
        <v>238</v>
      </c>
      <c r="J4" s="3" t="s">
        <v>239</v>
      </c>
      <c r="K4" s="3" t="s">
        <v>22</v>
      </c>
    </row>
    <row r="5" spans="1:11" ht="45" customHeight="1" x14ac:dyDescent="0.25">
      <c r="A5" s="2" t="inlineStr">
        <is>
          <t xml:space="preserve">R01</t>
        </is>
      </c>
      <c r="B5" s="8" t="inlineStr">
        <is>
          <t xml:space="preserve">Risco</t>
        </is>
      </c>
      <c r="C5" s="8" t="inlineStr">
        <is>
          <t xml:space="preserve">Demora no fornecimento das fotos e descrições dos serviços pelo parceiro</t>
        </is>
      </c>
      <c r="D5" s="8" t="inlineStr">
        <is>
          <t xml:space="preserve">Dependência de conteúdo do parceiro para a galeria</t>
        </is>
      </c>
      <c r="E5" s="8"/>
      <c r="F5" s="8"/>
      <c r="G5" s="2">
        <f t="shared" ref="G5:G33" si="0">IFERROR(E5*F5,0)</f>
      </c>
      <c r="H5" s="8" t="inlineStr">
        <is>
          <t xml:space="preserve">Mitigar: agendar sessão presencial de coleta</t>
        </is>
      </c>
      <c r="I5" s="8" t="inlineStr">
        <is>
          <t xml:space="preserve">Arthur Laranjeira</t>
        </is>
      </c>
      <c r="J5" s="8" t="inlineStr">
        <is>
          <t xml:space="preserve">Fotos não recebidas até 25/08/2026</t>
        </is>
      </c>
      <c r="K5" s="8"/>
    </row>
    <row r="6" spans="1:11" ht="45" customHeight="1" x14ac:dyDescent="0.25">
      <c r="A6" s="2" t="inlineStr">
        <is>
          <t xml:space="preserve">R02</t>
        </is>
      </c>
      <c r="B6" s="8" t="inlineStr">
        <is>
          <t xml:space="preserve">Risco</t>
        </is>
      </c>
      <c r="C6" s="8" t="inlineStr">
        <is>
          <t xml:space="preserve">Incompatibilidade de visualização em determinados navegadores móveis</t>
        </is>
      </c>
      <c r="D6" s="8" t="inlineStr">
        <is>
          <t xml:space="preserve">Diferenças entre navegadores e dispositivos</t>
        </is>
      </c>
      <c r="E6" s="8"/>
      <c r="F6" s="8"/>
      <c r="G6" s="2">
        <f t="shared" si="0"/>
      </c>
      <c r="H6" s="8" t="inlineStr">
        <is>
          <t xml:space="preserve">Mitigar: testes cross-browser</t>
        </is>
      </c>
      <c r="I6" s="8" t="inlineStr">
        <is>
          <t xml:space="preserve">Gabriel Candido</t>
        </is>
      </c>
      <c r="J6" s="8" t="inlineStr">
        <is>
          <t xml:space="preserve">Erro de exibição em dispositivo móvel do parceiro</t>
        </is>
      </c>
      <c r="K6" s="8"/>
    </row>
    <row r="7" spans="1:11" ht="45" customHeight="1" x14ac:dyDescent="0.25">
      <c r="A7" s="2" t="inlineStr">
        <is>
          <t xml:space="preserve">R03</t>
        </is>
      </c>
      <c r="B7" s="8" t="inlineStr">
        <is>
          <t xml:space="preserve">Risco</t>
        </is>
      </c>
      <c r="C7" s="8"/>
      <c r="D7" s="8"/>
      <c r="E7" s="8"/>
      <c r="F7" s="8"/>
      <c r="G7" s="2">
        <f t="shared" si="0"/>
      </c>
      <c r="H7" s="8"/>
      <c r="I7" s="8"/>
      <c r="J7" s="8"/>
      <c r="K7" s="8" t="inlineStr">
        <is>
          <t xml:space="preserve">Não iniciado</t>
        </is>
      </c>
    </row>
    <row r="8" spans="1:11" ht="45" customHeight="1" x14ac:dyDescent="0.25">
      <c r="A8" s="2" t="inlineStr">
        <is>
          <t xml:space="preserve">R04</t>
        </is>
      </c>
      <c r="B8" s="8" t="inlineStr">
        <is>
          <t xml:space="preserve">Risco</t>
        </is>
      </c>
      <c r="C8" s="8"/>
      <c r="D8" s="8"/>
      <c r="E8" s="8"/>
      <c r="F8" s="8"/>
      <c r="G8" s="2">
        <f t="shared" si="0"/>
      </c>
      <c r="H8" s="8"/>
      <c r="I8" s="8"/>
      <c r="J8" s="8"/>
      <c r="K8" s="8" t="inlineStr">
        <is>
          <t xml:space="preserve">Não iniciado</t>
        </is>
      </c>
    </row>
    <row r="9" spans="1:11" ht="45" customHeight="1" x14ac:dyDescent="0.25">
      <c r="A9" s="2" t="inlineStr">
        <is>
          <t xml:space="preserve">R05</t>
        </is>
      </c>
      <c r="B9" s="8" t="inlineStr">
        <is>
          <t xml:space="preserve">Risco</t>
        </is>
      </c>
      <c r="C9" s="8"/>
      <c r="D9" s="8"/>
      <c r="E9" s="8"/>
      <c r="F9" s="8"/>
      <c r="G9" s="2">
        <f t="shared" si="0"/>
      </c>
      <c r="H9" s="8"/>
      <c r="I9" s="8"/>
      <c r="J9" s="8"/>
      <c r="K9" s="8" t="inlineStr">
        <is>
          <t xml:space="preserve">Não iniciado</t>
        </is>
      </c>
    </row>
    <row r="10" spans="1:11" ht="30" customHeight="1" x14ac:dyDescent="0.25">
      <c r="A10" s="2" t="inlineStr">
        <is>
          <t xml:space="preserve">R06</t>
        </is>
      </c>
      <c r="B10" s="8" t="inlineStr">
        <is>
          <t xml:space="preserve">Risco</t>
        </is>
      </c>
      <c r="C10" s="8"/>
      <c r="D10" s="8"/>
      <c r="E10" s="8"/>
      <c r="F10" s="8"/>
      <c r="G10" s="2">
        <f t="shared" si="0"/>
      </c>
      <c r="H10" s="8"/>
      <c r="I10" s="8"/>
      <c r="J10" s="8"/>
      <c r="K10" s="8" t="inlineStr">
        <is>
          <t xml:space="preserve">Não iniciado</t>
        </is>
      </c>
    </row>
    <row r="11" spans="1:11" ht="45" customHeight="1" x14ac:dyDescent="0.25">
      <c r="A11" s="2" t="inlineStr">
        <is>
          <t xml:space="preserve">R07</t>
        </is>
      </c>
      <c r="B11" s="8" t="inlineStr">
        <is>
          <t xml:space="preserve">Risco</t>
        </is>
      </c>
      <c r="C11" s="8"/>
      <c r="D11" s="8"/>
      <c r="E11" s="8"/>
      <c r="F11" s="8"/>
      <c r="G11" s="2">
        <f t="shared" si="0"/>
      </c>
      <c r="H11" s="8"/>
      <c r="I11" s="8"/>
      <c r="J11" s="8"/>
      <c r="K11" s="8" t="inlineStr">
        <is>
          <t xml:space="preserve">Não iniciado</t>
        </is>
      </c>
    </row>
    <row r="12" spans="1:11" ht="30" customHeight="1" x14ac:dyDescent="0.25">
      <c r="A12" s="2" t="inlineStr">
        <is>
          <t xml:space="preserve">R08</t>
        </is>
      </c>
      <c r="B12" s="8" t="inlineStr">
        <is>
          <t xml:space="preserve">Risco</t>
        </is>
      </c>
      <c r="C12" s="8"/>
      <c r="D12" s="8"/>
      <c r="E12" s="8"/>
      <c r="F12" s="8"/>
      <c r="G12" s="2">
        <f t="shared" si="0"/>
      </c>
      <c r="H12" s="8"/>
      <c r="I12" s="8"/>
      <c r="J12" s="8"/>
      <c r="K12" s="8" t="inlineStr">
        <is>
          <t xml:space="preserve">Não iniciado</t>
        </is>
      </c>
    </row>
    <row r="13" spans="1:11" ht="30" customHeight="1" x14ac:dyDescent="0.25">
      <c r="A13" s="2" t="inlineStr">
        <is>
          <t xml:space="preserve">R09</t>
        </is>
      </c>
      <c r="B13" s="8" t="inlineStr">
        <is>
          <t xml:space="preserve">Risco</t>
        </is>
      </c>
      <c r="C13" s="8"/>
      <c r="D13" s="8"/>
      <c r="E13" s="8"/>
      <c r="F13" s="8"/>
      <c r="G13" s="2">
        <f t="shared" si="0"/>
      </c>
      <c r="H13" s="8"/>
      <c r="I13" s="8"/>
      <c r="J13" s="8"/>
      <c r="K13" s="8" t="inlineStr">
        <is>
          <t xml:space="preserve">Não iniciado</t>
        </is>
      </c>
    </row>
    <row r="14" spans="1:11" ht="45" customHeight="1" x14ac:dyDescent="0.25">
      <c r="A14" s="2" t="inlineStr">
        <is>
          <t xml:space="preserve">R10</t>
        </is>
      </c>
      <c r="B14" s="8" t="inlineStr">
        <is>
          <t xml:space="preserve">Risco</t>
        </is>
      </c>
      <c r="C14" s="8"/>
      <c r="D14" s="8"/>
      <c r="E14" s="8"/>
      <c r="F14" s="8"/>
      <c r="G14" s="2">
        <f t="shared" si="0"/>
      </c>
      <c r="H14" s="8"/>
      <c r="I14" s="8"/>
      <c r="J14" s="8"/>
      <c r="K14" s="8" t="inlineStr">
        <is>
          <t xml:space="preserve">Não iniciado</t>
        </is>
      </c>
    </row>
    <row r="15" spans="1:11" ht="30" customHeight="1" x14ac:dyDescent="0.25">
      <c r="A15" s="2" t="inlineStr">
        <is>
          <t xml:space="preserve">R11</t>
        </is>
      </c>
      <c r="B15" s="8" t="inlineStr">
        <is>
          <t xml:space="preserve">Risco</t>
        </is>
      </c>
      <c r="C15" s="8"/>
      <c r="D15" s="8"/>
      <c r="E15" s="8"/>
      <c r="F15" s="8"/>
      <c r="G15" s="2">
        <f t="shared" si="0"/>
      </c>
      <c r="H15" s="8"/>
      <c r="I15" s="8"/>
      <c r="J15" s="8"/>
      <c r="K15" s="8" t="inlineStr">
        <is>
          <t xml:space="preserve">Não iniciado</t>
        </is>
      </c>
    </row>
    <row r="16" spans="1:11" ht="45" customHeight="1" x14ac:dyDescent="0.25">
      <c r="A16" s="2" t="inlineStr">
        <is>
          <t xml:space="preserve">R12</t>
        </is>
      </c>
      <c r="B16" s="8" t="inlineStr">
        <is>
          <t xml:space="preserve">Risco</t>
        </is>
      </c>
      <c r="C16" s="8"/>
      <c r="D16" s="8"/>
      <c r="E16" s="8"/>
      <c r="F16" s="8"/>
      <c r="G16" s="2">
        <f t="shared" si="0"/>
      </c>
      <c r="H16" s="8"/>
      <c r="I16" s="8"/>
      <c r="J16" s="8"/>
      <c r="K16" s="8" t="inlineStr">
        <is>
          <t xml:space="preserve">Não iniciado</t>
        </is>
      </c>
    </row>
    <row r="17" spans="1:11" ht="45" customHeight="1" x14ac:dyDescent="0.25">
      <c r="A17" s="2" t="inlineStr">
        <is>
          <t xml:space="preserve">R13</t>
        </is>
      </c>
      <c r="B17" s="8" t="inlineStr">
        <is>
          <t xml:space="preserve">Risco</t>
        </is>
      </c>
      <c r="C17" s="8"/>
      <c r="D17" s="8"/>
      <c r="E17" s="8"/>
      <c r="F17" s="8"/>
      <c r="G17" s="2">
        <f t="shared" si="0"/>
      </c>
      <c r="H17" s="8"/>
      <c r="I17" s="8"/>
      <c r="J17" s="8"/>
      <c r="K17" s="8" t="inlineStr">
        <is>
          <t xml:space="preserve">Não iniciado</t>
        </is>
      </c>
    </row>
    <row r="18" spans="1:11" ht="45" customHeight="1" x14ac:dyDescent="0.25">
      <c r="A18" s="2" t="inlineStr">
        <is>
          <t xml:space="preserve">R14</t>
        </is>
      </c>
      <c r="B18" s="8" t="inlineStr">
        <is>
          <t xml:space="preserve">Risco</t>
        </is>
      </c>
      <c r="C18" s="8"/>
      <c r="D18" s="8"/>
      <c r="E18" s="8"/>
      <c r="F18" s="8"/>
      <c r="G18" s="2">
        <f t="shared" si="0"/>
      </c>
      <c r="H18" s="8"/>
      <c r="I18" s="8"/>
      <c r="J18" s="8"/>
      <c r="K18" s="8" t="inlineStr">
        <is>
          <t xml:space="preserve">Não iniciado</t>
        </is>
      </c>
    </row>
    <row r="19" spans="1:11" x14ac:dyDescent="0.25">
      <c r="A19" s="2" t="inlineStr">
        <is>
          <t xml:space="preserve">R15</t>
        </is>
      </c>
      <c r="B19" s="8" t="inlineStr">
        <is>
          <t xml:space="preserve">Risco</t>
        </is>
      </c>
      <c r="C19" s="8"/>
      <c r="D19" s="8"/>
      <c r="E19" s="8"/>
      <c r="F19" s="8"/>
      <c r="G19" s="2">
        <f t="shared" si="0"/>
      </c>
      <c r="H19" s="8"/>
      <c r="I19" s="8"/>
      <c r="J19" s="8"/>
      <c r="K19" s="8" t="inlineStr">
        <is>
          <t xml:space="preserve">Não iniciado</t>
        </is>
      </c>
    </row>
    <row r="20" spans="1:11" x14ac:dyDescent="0.25">
      <c r="A20" s="2" t="inlineStr">
        <is>
          <t xml:space="preserve">R16</t>
        </is>
      </c>
      <c r="B20" s="8" t="inlineStr">
        <is>
          <t xml:space="preserve">Risco</t>
        </is>
      </c>
      <c r="C20" s="8"/>
      <c r="D20" s="8"/>
      <c r="E20" s="8"/>
      <c r="F20" s="8"/>
      <c r="G20" s="2">
        <f t="shared" si="0"/>
      </c>
      <c r="H20" s="8"/>
      <c r="I20" s="8"/>
      <c r="J20" s="8"/>
      <c r="K20" s="8" t="inlineStr">
        <is>
          <t xml:space="preserve">Não iniciado</t>
        </is>
      </c>
    </row>
    <row r="21" spans="1:11" x14ac:dyDescent="0.25">
      <c r="A21" s="2" t="inlineStr">
        <is>
          <t xml:space="preserve">R17</t>
        </is>
      </c>
      <c r="B21" s="8" t="inlineStr">
        <is>
          <t xml:space="preserve">Risco</t>
        </is>
      </c>
      <c r="C21" s="8"/>
      <c r="D21" s="8"/>
      <c r="E21" s="8"/>
      <c r="F21" s="8"/>
      <c r="G21" s="2">
        <f t="shared" si="0"/>
      </c>
      <c r="H21" s="8"/>
      <c r="I21" s="8"/>
      <c r="J21" s="8"/>
      <c r="K21" s="8" t="inlineStr">
        <is>
          <t xml:space="preserve">Não iniciado</t>
        </is>
      </c>
    </row>
    <row r="22" spans="1:11" x14ac:dyDescent="0.25">
      <c r="A22" s="2" t="inlineStr">
        <is>
          <t xml:space="preserve">R18</t>
        </is>
      </c>
      <c r="B22" s="8" t="inlineStr">
        <is>
          <t xml:space="preserve">Risco</t>
        </is>
      </c>
      <c r="C22" s="8"/>
      <c r="D22" s="8"/>
      <c r="E22" s="8"/>
      <c r="F22" s="8"/>
      <c r="G22" s="2">
        <f t="shared" si="0"/>
      </c>
      <c r="H22" s="8"/>
      <c r="I22" s="8"/>
      <c r="J22" s="8"/>
      <c r="K22" s="8" t="inlineStr">
        <is>
          <t xml:space="preserve">Não iniciado</t>
        </is>
      </c>
    </row>
    <row r="23" spans="1:11" x14ac:dyDescent="0.25">
      <c r="A23" s="2" t="inlineStr">
        <is>
          <t xml:space="preserve">R19</t>
        </is>
      </c>
      <c r="B23" s="8" t="inlineStr">
        <is>
          <t xml:space="preserve">Risco</t>
        </is>
      </c>
      <c r="C23" s="8"/>
      <c r="D23" s="8"/>
      <c r="E23" s="8"/>
      <c r="F23" s="8"/>
      <c r="G23" s="2">
        <f t="shared" si="0"/>
      </c>
      <c r="H23" s="8"/>
      <c r="I23" s="8"/>
      <c r="J23" s="8"/>
      <c r="K23" s="8" t="inlineStr">
        <is>
          <t xml:space="preserve">Não iniciado</t>
        </is>
      </c>
    </row>
    <row r="24" spans="1:11" x14ac:dyDescent="0.25">
      <c r="A24" s="2" t="inlineStr">
        <is>
          <t xml:space="preserve">R20</t>
        </is>
      </c>
      <c r="B24" s="8" t="inlineStr">
        <is>
          <t xml:space="preserve">Risco</t>
        </is>
      </c>
      <c r="C24" s="8"/>
      <c r="D24" s="8"/>
      <c r="E24" s="8"/>
      <c r="F24" s="8"/>
      <c r="G24" s="2">
        <f t="shared" si="0"/>
      </c>
      <c r="H24" s="8"/>
      <c r="I24" s="8"/>
      <c r="J24" s="8"/>
      <c r="K24" s="8" t="inlineStr">
        <is>
          <t xml:space="preserve">Não iniciado</t>
        </is>
      </c>
    </row>
    <row r="25" spans="1:11" x14ac:dyDescent="0.25">
      <c r="A25" s="2" t="inlineStr">
        <is>
          <t xml:space="preserve">R21</t>
        </is>
      </c>
      <c r="B25" s="8" t="inlineStr">
        <is>
          <t xml:space="preserve">Risco</t>
        </is>
      </c>
      <c r="C25" s="8"/>
      <c r="D25" s="8"/>
      <c r="E25" s="8"/>
      <c r="F25" s="8"/>
      <c r="G25" s="2">
        <f t="shared" si="0"/>
      </c>
      <c r="H25" s="8"/>
      <c r="I25" s="8"/>
      <c r="J25" s="8"/>
      <c r="K25" s="8" t="inlineStr">
        <is>
          <t xml:space="preserve">Não iniciado</t>
        </is>
      </c>
    </row>
    <row r="26" spans="1:11" x14ac:dyDescent="0.25">
      <c r="A26" s="2" t="inlineStr">
        <is>
          <t xml:space="preserve">R22</t>
        </is>
      </c>
      <c r="B26" s="8" t="inlineStr">
        <is>
          <t xml:space="preserve">Risco</t>
        </is>
      </c>
      <c r="C26" s="8"/>
      <c r="D26" s="8"/>
      <c r="E26" s="8"/>
      <c r="F26" s="8"/>
      <c r="G26" s="2">
        <f t="shared" si="0"/>
      </c>
      <c r="H26" s="8"/>
      <c r="I26" s="8"/>
      <c r="J26" s="8"/>
      <c r="K26" s="8" t="inlineStr">
        <is>
          <t xml:space="preserve">Não iniciado</t>
        </is>
      </c>
    </row>
    <row r="27" spans="1:11" x14ac:dyDescent="0.25">
      <c r="A27" s="2" t="inlineStr">
        <is>
          <t xml:space="preserve">R23</t>
        </is>
      </c>
      <c r="B27" s="8" t="inlineStr">
        <is>
          <t xml:space="preserve">Risco</t>
        </is>
      </c>
      <c r="C27" s="8"/>
      <c r="D27" s="8"/>
      <c r="E27" s="8"/>
      <c r="F27" s="8"/>
      <c r="G27" s="2">
        <f t="shared" si="0"/>
      </c>
      <c r="H27" s="8"/>
      <c r="I27" s="8"/>
      <c r="J27" s="8"/>
      <c r="K27" s="8" t="inlineStr">
        <is>
          <t xml:space="preserve">Não iniciado</t>
        </is>
      </c>
    </row>
    <row r="28" spans="1:11" x14ac:dyDescent="0.25">
      <c r="A28" s="2" t="inlineStr">
        <is>
          <t xml:space="preserve">R24</t>
        </is>
      </c>
      <c r="B28" s="8" t="inlineStr">
        <is>
          <t xml:space="preserve">Risco</t>
        </is>
      </c>
      <c r="C28" s="8"/>
      <c r="D28" s="8"/>
      <c r="E28" s="8"/>
      <c r="F28" s="8"/>
      <c r="G28" s="2">
        <f t="shared" si="0"/>
      </c>
      <c r="H28" s="8"/>
      <c r="I28" s="8"/>
      <c r="J28" s="8"/>
      <c r="K28" s="8" t="inlineStr">
        <is>
          <t xml:space="preserve">Não iniciado</t>
        </is>
      </c>
    </row>
    <row r="29" spans="1:11" x14ac:dyDescent="0.25">
      <c r="A29" s="2" t="inlineStr">
        <is>
          <t xml:space="preserve">R25</t>
        </is>
      </c>
      <c r="B29" s="8" t="inlineStr">
        <is>
          <t xml:space="preserve">Risco</t>
        </is>
      </c>
      <c r="C29" s="8"/>
      <c r="D29" s="8"/>
      <c r="E29" s="8"/>
      <c r="F29" s="8"/>
      <c r="G29" s="2">
        <f t="shared" si="0"/>
      </c>
      <c r="H29" s="8"/>
      <c r="I29" s="8"/>
      <c r="J29" s="8"/>
      <c r="K29" s="8" t="inlineStr">
        <is>
          <t xml:space="preserve">Não iniciado</t>
        </is>
      </c>
    </row>
    <row r="30" spans="1:11" x14ac:dyDescent="0.25">
      <c r="A30" s="2" t="inlineStr">
        <is>
          <t xml:space="preserve">R26</t>
        </is>
      </c>
      <c r="B30" s="8" t="inlineStr">
        <is>
          <t xml:space="preserve">Risco</t>
        </is>
      </c>
      <c r="C30" s="8"/>
      <c r="D30" s="8"/>
      <c r="E30" s="8"/>
      <c r="F30" s="8"/>
      <c r="G30" s="2">
        <f t="shared" si="0"/>
      </c>
      <c r="H30" s="8"/>
      <c r="I30" s="8"/>
      <c r="J30" s="8"/>
      <c r="K30" s="8" t="inlineStr">
        <is>
          <t xml:space="preserve">Não iniciado</t>
        </is>
      </c>
    </row>
    <row r="31" spans="1:11" x14ac:dyDescent="0.25">
      <c r="A31" s="2" t="inlineStr">
        <is>
          <t xml:space="preserve">R27</t>
        </is>
      </c>
      <c r="B31" s="8" t="inlineStr">
        <is>
          <t xml:space="preserve">Risco</t>
        </is>
      </c>
      <c r="C31" s="8"/>
      <c r="D31" s="8"/>
      <c r="E31" s="8"/>
      <c r="F31" s="8"/>
      <c r="G31" s="2">
        <f t="shared" si="0"/>
      </c>
      <c r="H31" s="8"/>
      <c r="I31" s="8"/>
      <c r="J31" s="8"/>
      <c r="K31" s="8" t="inlineStr">
        <is>
          <t xml:space="preserve">Não iniciado</t>
        </is>
      </c>
    </row>
    <row r="32" spans="1:11" x14ac:dyDescent="0.25">
      <c r="A32" s="2" t="inlineStr">
        <is>
          <t xml:space="preserve">R28</t>
        </is>
      </c>
      <c r="B32" s="8" t="inlineStr">
        <is>
          <t xml:space="preserve">Risco</t>
        </is>
      </c>
      <c r="C32" s="8"/>
      <c r="D32" s="8"/>
      <c r="E32" s="8"/>
      <c r="F32" s="8"/>
      <c r="G32" s="2">
        <f t="shared" si="0"/>
      </c>
      <c r="H32" s="8"/>
      <c r="I32" s="8"/>
      <c r="J32" s="8"/>
      <c r="K32" s="8" t="inlineStr">
        <is>
          <t xml:space="preserve">Não iniciado</t>
        </is>
      </c>
    </row>
    <row r="33" spans="1:11" x14ac:dyDescent="0.25">
      <c r="A33" s="2" t="inlineStr">
        <is>
          <t xml:space="preserve">R29</t>
        </is>
      </c>
      <c r="B33" s="8" t="inlineStr">
        <is>
          <t xml:space="preserve">Risco</t>
        </is>
      </c>
      <c r="C33" s="8"/>
      <c r="D33" s="8"/>
      <c r="E33" s="8"/>
      <c r="F33" s="8"/>
      <c r="G33" s="2">
        <f t="shared" si="0"/>
      </c>
      <c r="H33" s="8"/>
      <c r="I33" s="8"/>
      <c r="J33" s="8"/>
      <c r="K33" s="8" t="inlineStr">
        <is>
          <t xml:space="preserve">Não iniciado</t>
        </is>
      </c>
    </row>
    <row r="35" spans="1:11" ht="42" customHeight="1" x14ac:dyDescent="0.25">
      <c r="A35" s="35" t="inlineStr">
        <is>
          <t xml:space="preserve">Fonte: riscos iniciais da Ata/TAP v1.2. Probabilidade e impacto não constam nos documentos — preencher pela equipe para calcular a exposição.</t>
        </is>
      </c>
      <c r="B35" s="36"/>
      <c r="C35" s="36"/>
      <c r="D35" s="36"/>
      <c r="E35" s="36"/>
      <c r="F35" s="36"/>
      <c r="G35" s="36"/>
      <c r="H35" s="36"/>
      <c r="I35" s="36"/>
      <c r="J35" s="36"/>
      <c r="K35" s="36"/>
    </row>
  </sheetData>
  <mergeCells count="3">
    <mergeCell ref="A2:K2"/>
    <mergeCell ref="A1:K1"/>
    <mergeCell ref="A35:K35"/>
  </mergeCells>
  <conditionalFormatting sqref="G5:G33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3">
    <dataValidation type="list" sqref="B5:B33" xr:uid="{00000000-0002-0000-0900-000000000000}">
      <formula1>"Risco,Oportunidade,Issue"</formula1>
      <formula2>0</formula2>
    </dataValidation>
    <dataValidation type="list" sqref="E5:F33" xr:uid="{00000000-0002-0000-0900-000001000000}">
      <formula1>"1,2,3,4,5"</formula1>
      <formula2>0</formula2>
    </dataValidation>
    <dataValidation type="list" sqref="K5:K33" xr:uid="{00000000-0002-0000-0900-000002000000}">
      <formula1>"Não iniciado,Em andamento,Aguardando parceiro,Em validação,Concluído,Bloqueado"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7"/>
  <sheetViews>
    <sheetView topLeftCell="A14" zoomScaleNormal="100" workbookViewId="0">
      <selection activeCell="P5" sqref="P5"/>
    </sheetView>
  </sheetViews>
  <sheetFormatPr defaultColWidth="8.7109375" defaultRowHeight="15" x14ac:dyDescent="0.25"/>
  <cols>
    <col min="1" max="1" width="10" customWidth="1"/>
    <col min="2" max="2" width="24" customWidth="1"/>
    <col min="3" max="3" width="44" customWidth="1"/>
    <col min="4" max="4" width="40" customWidth="1"/>
    <col min="5" max="6" width="12" customWidth="1"/>
    <col min="7" max="7" width="14" customWidth="1"/>
    <col min="8" max="9" width="20" customWidth="1"/>
    <col min="10" max="11" width="14" customWidth="1"/>
    <col min="12" max="12" width="18" customWidth="1"/>
    <col min="13" max="13" width="36" customWidth="1"/>
    <col min="14" max="14" width="20" customWidth="1"/>
    <col min="15" max="17" width="22" customWidth="1"/>
    <col min="18" max="18" width="34" customWidth="1"/>
  </cols>
  <sheetData>
    <row r="1" spans="1:18" ht="30" customHeight="1" x14ac:dyDescent="0.25">
      <c r="A1" s="37" t="s">
        <v>240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ht="21.75" customHeight="1" x14ac:dyDescent="0.25">
      <c r="A2" s="35" t="s">
        <v>241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4" spans="1:18" ht="27.75" customHeight="1" x14ac:dyDescent="0.25">
      <c r="A4" s="3" t="s">
        <v>140</v>
      </c>
      <c r="B4" s="3" t="s">
        <v>242</v>
      </c>
      <c r="C4" s="3" t="s">
        <v>243</v>
      </c>
      <c r="D4" s="3" t="s">
        <v>174</v>
      </c>
      <c r="E4" s="3" t="s">
        <v>173</v>
      </c>
      <c r="F4" s="3" t="s">
        <v>244</v>
      </c>
      <c r="G4" s="3" t="s">
        <v>245</v>
      </c>
      <c r="H4" s="3" t="s">
        <v>130</v>
      </c>
      <c r="I4" s="3" t="s">
        <v>22</v>
      </c>
      <c r="J4" s="3" t="s">
        <v>246</v>
      </c>
      <c r="K4" s="3" t="s">
        <v>247</v>
      </c>
      <c r="L4" s="3" t="s">
        <v>394</v>
      </c>
      <c r="M4" s="3" t="s">
        <v>395</v>
      </c>
      <c r="N4" s="3" t="s">
        <v>396</v>
      </c>
      <c r="O4" s="3" t="s">
        <v>397</v>
      </c>
      <c r="P4" s="3" t="s">
        <v>398</v>
      </c>
      <c r="Q4" s="3" t="s">
        <v>399</v>
      </c>
      <c r="R4" s="3" t="s">
        <v>400</v>
      </c>
    </row>
    <row r="5" spans="1:18" ht="45" customHeight="1" x14ac:dyDescent="0.25">
      <c r="A5" s="2" t="inlineStr">
        <is>
          <t xml:space="preserve">PB-001</t>
        </is>
      </c>
      <c r="B5" s="8" t="inlineStr">
        <is>
          <t xml:space="preserve">Landing page</t>
        </is>
      </c>
      <c r="C5" s="8" t="inlineStr">
        <is>
          <t xml:space="preserve">RF-01 — Página com exibição dos tipos de restauração e acabamentos</t>
        </is>
      </c>
      <c r="D5" s="8" t="inlineStr">
        <is>
          <t xml:space="preserve">Apresentar descrições claras e fotos dos serviços de madeira</t>
        </is>
      </c>
      <c r="E5" s="8" t="inlineStr">
        <is>
          <t xml:space="preserve">Must</t>
        </is>
      </c>
      <c r="F5" s="8"/>
      <c r="G5" s="8"/>
      <c r="H5" s="8"/>
      <c r="I5" s="2"/>
      <c r="J5" s="29"/>
      <c r="K5" s="29"/>
      <c r="L5" s="8"/>
      <c r="M5" s="8"/>
      <c r="N5" s="8"/>
      <c r="O5" s="8"/>
      <c r="P5" s="8"/>
      <c r="Q5" s="29"/>
      <c r="R5" s="8"/>
    </row>
    <row r="6" spans="1:18" ht="45" customHeight="1" x14ac:dyDescent="0.25">
      <c r="A6" s="2" t="inlineStr">
        <is>
          <t xml:space="preserve">PB-002</t>
        </is>
      </c>
      <c r="B6" s="8" t="inlineStr">
        <is>
          <t xml:space="preserve">Galeria Antes e Depois</t>
        </is>
      </c>
      <c r="C6" s="8" t="inlineStr">
        <is>
          <t xml:space="preserve">RF-02 — Galeria de 'Antes e Depois' com fotos de projetos reais</t>
        </is>
      </c>
      <c r="D6" s="8" t="inlineStr">
        <is>
          <t xml:space="preserve">Visualização nítida em carrossel/grade em dispositivos móveis</t>
        </is>
      </c>
      <c r="E6" s="8" t="inlineStr">
        <is>
          <t xml:space="preserve">Must</t>
        </is>
      </c>
      <c r="F6" s="8"/>
      <c r="G6" s="8"/>
      <c r="H6" s="8"/>
      <c r="I6" s="2"/>
      <c r="J6" s="29"/>
      <c r="K6" s="29"/>
      <c r="L6" s="8"/>
      <c r="M6" s="8"/>
      <c r="N6" s="8"/>
      <c r="O6" s="8"/>
      <c r="P6" s="8"/>
      <c r="Q6" s="29"/>
      <c r="R6" s="8"/>
    </row>
    <row r="7" spans="1:18" ht="60" customHeight="1" x14ac:dyDescent="0.25">
      <c r="A7" s="2" t="inlineStr">
        <is>
          <t xml:space="preserve">PB-003</t>
        </is>
      </c>
      <c r="B7" s="8" t="inlineStr">
        <is>
          <t xml:space="preserve">Canal WhatsApp</t>
        </is>
      </c>
      <c r="C7" s="8" t="inlineStr">
        <is>
          <t xml:space="preserve">RF-03 — Botão flutuante e de rodapé integrado ao WhatsApp</t>
        </is>
      </c>
      <c r="D7" s="8" t="inlineStr">
        <is>
          <t xml:space="preserve">Ao clicar, abrir conversa já com mensagem inicial pré-formatada</t>
        </is>
      </c>
      <c r="E7" s="8" t="inlineStr">
        <is>
          <t xml:space="preserve">Must</t>
        </is>
      </c>
      <c r="F7" s="8"/>
      <c r="G7" s="8"/>
      <c r="H7" s="8"/>
      <c r="I7" s="2"/>
      <c r="J7" s="29"/>
      <c r="K7" s="29"/>
      <c r="L7" s="8"/>
      <c r="M7" s="8"/>
      <c r="N7" s="8"/>
      <c r="O7" s="8"/>
      <c r="P7" s="8"/>
      <c r="Q7" s="29"/>
      <c r="R7" s="8"/>
    </row>
    <row r="8" spans="1:18" ht="60" customHeight="1" x14ac:dyDescent="0.25">
      <c r="A8" s="2" t="inlineStr">
        <is>
          <t xml:space="preserve">PB-004</t>
        </is>
      </c>
      <c r="B8" s="8" t="inlineStr">
        <is>
          <t xml:space="preserve">Landing page</t>
        </is>
      </c>
      <c r="C8" s="8" t="inlineStr">
        <is>
          <t xml:space="preserve">RNF-01 — Design responsivo e alta performance de carregamento</t>
        </is>
      </c>
      <c r="D8" s="8" t="inlineStr">
        <is>
          <t xml:space="preserve">Pontuação mobile satisfatória no PageSpeed e layout adaptado</t>
        </is>
      </c>
      <c r="E8" s="8" t="inlineStr">
        <is>
          <t xml:space="preserve">Should</t>
        </is>
      </c>
      <c r="F8" s="8"/>
      <c r="G8" s="8"/>
      <c r="H8" s="8"/>
      <c r="I8" s="2"/>
      <c r="J8" s="29"/>
      <c r="K8" s="29"/>
      <c r="L8" s="8"/>
      <c r="M8" s="8"/>
      <c r="N8" s="8"/>
      <c r="O8" s="8"/>
      <c r="P8" s="8"/>
      <c r="Q8" s="29"/>
      <c r="R8" s="8"/>
    </row>
    <row r="9" spans="1:18" ht="30" customHeight="1" x14ac:dyDescent="0.25">
      <c r="A9" s="2" t="inlineStr">
        <is>
          <t xml:space="preserve">PB-005</t>
        </is>
      </c>
      <c r="B9" s="8" t="inlineStr">
        <is>
          <t xml:space="preserve">Conteúdo</t>
        </is>
      </c>
      <c r="C9" s="8" t="inlineStr">
        <is>
          <t xml:space="preserve">Coleta de imagens de serviços anteriores e depoimentos</t>
        </is>
      </c>
      <c r="D9" s="8" t="inlineStr">
        <is>
          <t xml:space="preserve">Fotos e depoimentos arquivados na pasta do Drive</t>
        </is>
      </c>
      <c r="E9" s="8"/>
      <c r="F9" s="8"/>
      <c r="G9" s="8"/>
      <c r="H9" s="8" t="inlineStr">
        <is>
          <t xml:space="preserve">Arthur Laranjeira</t>
        </is>
      </c>
      <c r="I9" s="2"/>
      <c r="J9" s="29"/>
      <c r="K9" s="29">
        <v>46259</v>
      </c>
      <c r="L9" s="8"/>
      <c r="M9" s="8"/>
      <c r="N9" s="8"/>
      <c r="O9" s="8"/>
      <c r="P9" s="8"/>
      <c r="Q9" s="29"/>
      <c r="R9" s="8"/>
    </row>
    <row r="10" spans="1:18" ht="60" customHeight="1" x14ac:dyDescent="0.25">
      <c r="A10" s="2" t="inlineStr">
        <is>
          <t xml:space="preserve">PB-006</t>
        </is>
      </c>
      <c r="B10" s="8" t="inlineStr">
        <is>
          <t xml:space="preserve">Protótipo</t>
        </is>
      </c>
      <c r="C10" s="8" t="inlineStr">
        <is>
          <t xml:space="preserve">Wireframe / protótipo de baixa fidelidade</t>
        </is>
      </c>
      <c r="D10" s="8" t="inlineStr">
        <is>
          <t xml:space="preserve">Protótipo disponível em link do Figma</t>
        </is>
      </c>
      <c r="E10" s="8"/>
      <c r="F10" s="8"/>
      <c r="G10" s="8"/>
      <c r="H10" s="8" t="inlineStr">
        <is>
          <t xml:space="preserve">Gabriel Candido</t>
        </is>
      </c>
      <c r="I10" s="2"/>
      <c r="J10" s="29"/>
      <c r="K10" s="29">
        <v>46270</v>
      </c>
      <c r="L10" s="8"/>
      <c r="M10" s="8"/>
      <c r="N10" s="8"/>
      <c r="O10" s="8"/>
      <c r="P10" s="8"/>
      <c r="Q10" s="29"/>
      <c r="R10" s="8"/>
    </row>
    <row r="11" spans="1:18" ht="45" customHeight="1" x14ac:dyDescent="0.25">
      <c r="A11" s="2" t="inlineStr">
        <is>
          <t xml:space="preserve">PB-007</t>
        </is>
      </c>
      <c r="B11" s="8" t="inlineStr">
        <is>
          <t xml:space="preserve">Gestão do projeto</t>
        </is>
      </c>
      <c r="C11" s="8" t="inlineStr">
        <is>
          <t xml:space="preserve">Estruturação do backlog de requisitos e tarefas</t>
        </is>
      </c>
      <c r="D11" s="8" t="inlineStr">
        <is>
          <t xml:space="preserve">Quadro Trello/Kanban com requisitos e tarefas</t>
        </is>
      </c>
      <c r="E11" s="8"/>
      <c r="F11" s="8"/>
      <c r="G11" s="8"/>
      <c r="H11" s="8" t="inlineStr">
        <is>
          <t xml:space="preserve">Lucas De Gois; João Lucas</t>
        </is>
      </c>
      <c r="I11" s="2"/>
      <c r="J11" s="29"/>
      <c r="K11" s="29">
        <v>46266</v>
      </c>
      <c r="L11" s="8"/>
      <c r="M11" s="8"/>
      <c r="N11" s="8"/>
      <c r="O11" s="8"/>
      <c r="P11" s="8"/>
      <c r="Q11" s="29"/>
      <c r="R11" s="8"/>
    </row>
    <row r="12" spans="1:18" ht="75" customHeight="1" x14ac:dyDescent="0.25">
      <c r="A12" s="2" t="inlineStr">
        <is>
          <t xml:space="preserve">PB-008</t>
        </is>
      </c>
      <c r="B12" s="8" t="inlineStr">
        <is>
          <t xml:space="preserve">Landing page</t>
        </is>
      </c>
      <c r="C12" s="8" t="inlineStr">
        <is>
          <t xml:space="preserve">SEO básico para Ibiúna e região</t>
        </is>
      </c>
      <c r="D12" s="8"/>
      <c r="E12" s="8"/>
      <c r="F12" s="8"/>
      <c r="G12" s="8"/>
      <c r="H12" s="8"/>
      <c r="I12" s="2"/>
      <c r="J12" s="29"/>
      <c r="K12" s="10"/>
      <c r="L12" s="8"/>
      <c r="M12" s="8"/>
      <c r="N12" s="8"/>
      <c r="O12" s="8"/>
      <c r="P12" s="8"/>
      <c r="Q12" s="29"/>
      <c r="R12" s="8"/>
    </row>
    <row r="13" spans="1:18" ht="45" customHeight="1" x14ac:dyDescent="0.25">
      <c r="A13" s="2" t="inlineStr">
        <is>
          <t xml:space="preserve">PB-009</t>
        </is>
      </c>
      <c r="B13" s="8" t="inlineStr">
        <is>
          <t xml:space="preserve">Publicação</t>
        </is>
      </c>
      <c r="C13" s="8" t="inlineStr">
        <is>
          <t xml:space="preserve">Hospedagem e publicação do MVP em ambiente web acessível</t>
        </is>
      </c>
      <c r="D13" s="8"/>
      <c r="E13" s="8"/>
      <c r="F13" s="8"/>
      <c r="G13" s="8"/>
      <c r="H13" s="8"/>
      <c r="I13" s="2"/>
      <c r="J13" s="29"/>
      <c r="K13" s="29"/>
      <c r="L13" s="8"/>
      <c r="M13" s="8"/>
      <c r="N13" s="8"/>
      <c r="O13" s="8"/>
      <c r="P13" s="8"/>
      <c r="Q13" s="29"/>
      <c r="R13" s="8"/>
    </row>
    <row r="14" spans="1:18" ht="60" customHeight="1" x14ac:dyDescent="0.25">
      <c r="A14" s="2"/>
      <c r="B14" s="8"/>
      <c r="C14" s="8"/>
      <c r="D14" s="8"/>
      <c r="E14" s="8"/>
      <c r="F14" s="8"/>
      <c r="G14" s="8"/>
      <c r="H14" s="8"/>
      <c r="I14" s="2"/>
      <c r="J14" s="29"/>
      <c r="K14" s="29"/>
      <c r="L14" s="8"/>
      <c r="M14" s="8"/>
      <c r="N14" s="8"/>
      <c r="O14" s="8"/>
      <c r="P14" s="8"/>
      <c r="Q14" s="29"/>
      <c r="R14" s="8"/>
    </row>
    <row r="15" spans="1:18" ht="30" customHeight="1" x14ac:dyDescent="0.25">
      <c r="A15" s="2"/>
      <c r="B15" s="8"/>
      <c r="C15" s="8"/>
      <c r="D15" s="8"/>
      <c r="E15" s="8"/>
      <c r="F15" s="8"/>
      <c r="G15" s="8"/>
      <c r="H15" s="8"/>
      <c r="I15" s="2"/>
      <c r="J15" s="29"/>
      <c r="K15" s="29"/>
      <c r="L15" s="8"/>
      <c r="M15" s="8"/>
      <c r="N15" s="8"/>
      <c r="O15" s="8"/>
      <c r="P15" s="8"/>
      <c r="Q15" s="29"/>
      <c r="R15" s="8"/>
    </row>
    <row r="16" spans="1:18" ht="45" customHeight="1" x14ac:dyDescent="0.25">
      <c r="A16" s="2"/>
      <c r="B16" s="8"/>
      <c r="C16" s="8"/>
      <c r="D16" s="8"/>
      <c r="E16" s="8"/>
      <c r="F16" s="8"/>
      <c r="G16" s="8"/>
      <c r="H16" s="8"/>
      <c r="I16" s="2"/>
      <c r="J16" s="29"/>
      <c r="K16" s="29"/>
      <c r="L16" s="8"/>
      <c r="M16" s="8"/>
      <c r="N16" s="8"/>
      <c r="O16" s="8"/>
      <c r="P16" s="8"/>
      <c r="Q16" s="29"/>
      <c r="R16" s="8"/>
    </row>
    <row r="17" spans="1:18" ht="30" customHeight="1" x14ac:dyDescent="0.25">
      <c r="A17" s="2"/>
      <c r="B17" s="8"/>
      <c r="C17" s="8"/>
      <c r="D17" s="8"/>
      <c r="E17" s="8"/>
      <c r="F17" s="8"/>
      <c r="G17" s="8"/>
      <c r="H17" s="8"/>
      <c r="I17" s="2"/>
      <c r="J17" s="29"/>
      <c r="K17" s="29"/>
      <c r="L17" s="8"/>
      <c r="M17" s="8"/>
      <c r="N17" s="8"/>
      <c r="O17" s="8"/>
      <c r="P17" s="8"/>
      <c r="Q17" s="29"/>
      <c r="R17" s="8"/>
    </row>
    <row r="18" spans="1:18" ht="45" customHeight="1" x14ac:dyDescent="0.25">
      <c r="A18" s="2"/>
      <c r="B18" s="8"/>
      <c r="C18" s="8"/>
      <c r="D18" s="8"/>
      <c r="E18" s="8"/>
      <c r="F18" s="8"/>
      <c r="G18" s="8"/>
      <c r="H18" s="8"/>
      <c r="I18" s="2"/>
      <c r="J18" s="29"/>
      <c r="K18" s="10"/>
      <c r="L18" s="8"/>
      <c r="M18" s="8"/>
      <c r="N18" s="8"/>
      <c r="O18" s="8"/>
      <c r="P18" s="8"/>
      <c r="Q18" s="29"/>
      <c r="R18" s="8"/>
    </row>
    <row r="19" spans="1:18" ht="45" customHeight="1" x14ac:dyDescent="0.25">
      <c r="A19" s="2"/>
      <c r="B19" s="8"/>
      <c r="C19" s="8"/>
      <c r="D19" s="8"/>
      <c r="E19" s="8"/>
      <c r="F19" s="8"/>
      <c r="G19" s="8"/>
      <c r="H19" s="8"/>
      <c r="I19" s="2"/>
      <c r="J19" s="29"/>
      <c r="K19" s="10"/>
      <c r="L19" s="8"/>
      <c r="M19" s="8"/>
      <c r="N19" s="8"/>
      <c r="O19" s="8"/>
      <c r="P19" s="8"/>
      <c r="Q19" s="29"/>
      <c r="R19" s="8"/>
    </row>
    <row r="20" spans="1:18" ht="45" customHeight="1" x14ac:dyDescent="0.25">
      <c r="A20" s="2"/>
      <c r="B20" s="8"/>
      <c r="C20" s="8"/>
      <c r="D20" s="8"/>
      <c r="E20" s="8"/>
      <c r="F20" s="8"/>
      <c r="G20" s="8"/>
      <c r="H20" s="8"/>
      <c r="I20" s="2"/>
      <c r="J20" s="29"/>
      <c r="K20" s="10"/>
      <c r="L20" s="8"/>
      <c r="M20" s="8"/>
      <c r="N20" s="8"/>
      <c r="O20" s="8"/>
      <c r="P20" s="8"/>
      <c r="Q20" s="29"/>
      <c r="R20" s="8"/>
    </row>
    <row r="21" spans="1:18" ht="45" customHeight="1" x14ac:dyDescent="0.25">
      <c r="A21" s="2"/>
      <c r="B21" s="8"/>
      <c r="C21" s="8"/>
      <c r="D21" s="8"/>
      <c r="E21" s="8"/>
      <c r="F21" s="8"/>
      <c r="G21" s="8"/>
      <c r="H21" s="8"/>
      <c r="I21" s="2"/>
      <c r="J21" s="29"/>
      <c r="K21" s="10"/>
      <c r="L21" s="8"/>
      <c r="M21" s="8"/>
      <c r="N21" s="8"/>
      <c r="O21" s="8"/>
      <c r="P21" s="8"/>
      <c r="Q21" s="29"/>
      <c r="R21" s="8"/>
    </row>
    <row r="22" spans="1:18" ht="30" customHeight="1" x14ac:dyDescent="0.25">
      <c r="A22" s="2"/>
      <c r="B22" s="8"/>
      <c r="C22" s="8"/>
      <c r="D22" s="8"/>
      <c r="E22" s="8"/>
      <c r="F22" s="8"/>
      <c r="G22" s="8"/>
      <c r="H22" s="8"/>
      <c r="I22" s="2"/>
      <c r="J22" s="29"/>
      <c r="K22" s="10"/>
      <c r="L22" s="8"/>
      <c r="M22" s="8"/>
      <c r="N22" s="8"/>
      <c r="O22" s="8"/>
      <c r="P22" s="8"/>
      <c r="Q22" s="29"/>
      <c r="R22" s="8"/>
    </row>
    <row r="23" spans="1:18" ht="30" customHeight="1" x14ac:dyDescent="0.25">
      <c r="A23" s="2"/>
      <c r="B23" s="8"/>
      <c r="C23" s="8"/>
      <c r="D23" s="8"/>
      <c r="E23" s="8"/>
      <c r="F23" s="8"/>
      <c r="G23" s="8"/>
      <c r="H23" s="8"/>
      <c r="I23" s="2"/>
      <c r="J23" s="29"/>
      <c r="K23" s="10"/>
      <c r="L23" s="8"/>
      <c r="M23" s="8"/>
      <c r="N23" s="8"/>
      <c r="O23" s="8"/>
      <c r="P23" s="8"/>
      <c r="Q23" s="29"/>
      <c r="R23" s="8"/>
    </row>
    <row r="24" spans="1:18" ht="75" customHeight="1" x14ac:dyDescent="0.25">
      <c r="A24" s="2"/>
      <c r="B24" s="8"/>
      <c r="C24" s="8"/>
      <c r="D24" s="8"/>
      <c r="E24" s="8"/>
      <c r="F24" s="8"/>
      <c r="G24" s="8"/>
      <c r="H24" s="8"/>
      <c r="I24" s="2"/>
      <c r="J24" s="29"/>
      <c r="K24" s="10"/>
      <c r="L24" s="8"/>
      <c r="M24" s="8"/>
      <c r="N24" s="8"/>
      <c r="O24" s="8"/>
      <c r="P24" s="8"/>
      <c r="Q24" s="29"/>
      <c r="R24" s="8"/>
    </row>
    <row r="25" spans="1:18" ht="30" customHeight="1" x14ac:dyDescent="0.25">
      <c r="A25" s="2"/>
      <c r="B25" s="8"/>
      <c r="C25" s="8"/>
      <c r="D25" s="8"/>
      <c r="E25" s="8"/>
      <c r="F25" s="8"/>
      <c r="G25" s="8"/>
      <c r="H25" s="8"/>
      <c r="I25" s="2"/>
      <c r="J25" s="29"/>
      <c r="K25" s="10"/>
      <c r="L25" s="8"/>
      <c r="M25" s="8"/>
      <c r="N25" s="8"/>
      <c r="O25" s="8"/>
      <c r="P25" s="8"/>
      <c r="Q25" s="29"/>
      <c r="R25" s="8"/>
    </row>
    <row r="26" spans="1:18" ht="30" customHeight="1" x14ac:dyDescent="0.25">
      <c r="A26" s="2"/>
      <c r="B26" s="8"/>
      <c r="C26" s="8"/>
      <c r="D26" s="8"/>
      <c r="E26" s="8"/>
      <c r="F26" s="8"/>
      <c r="G26" s="8"/>
      <c r="H26" s="8"/>
      <c r="I26" s="2"/>
      <c r="J26" s="29"/>
      <c r="K26" s="10"/>
      <c r="L26" s="8"/>
      <c r="M26" s="8"/>
      <c r="N26" s="8"/>
      <c r="O26" s="8"/>
      <c r="P26" s="8"/>
      <c r="Q26" s="29"/>
      <c r="R26" s="8"/>
    </row>
    <row r="27" spans="1:18" ht="45" customHeight="1" x14ac:dyDescent="0.25">
      <c r="A27" s="2"/>
      <c r="B27" s="8"/>
      <c r="C27" s="8"/>
      <c r="D27" s="8"/>
      <c r="E27" s="8"/>
      <c r="F27" s="8"/>
      <c r="G27" s="8"/>
      <c r="H27" s="8"/>
      <c r="I27" s="2"/>
      <c r="J27" s="29"/>
      <c r="K27" s="10"/>
      <c r="L27" s="8"/>
      <c r="M27" s="8"/>
      <c r="N27" s="8"/>
      <c r="O27" s="8"/>
      <c r="P27" s="8"/>
      <c r="Q27" s="29"/>
      <c r="R27" s="8"/>
    </row>
    <row r="28" spans="1:18" ht="60" customHeight="1" x14ac:dyDescent="0.25">
      <c r="A28" s="2"/>
      <c r="B28" s="8"/>
      <c r="C28" s="8"/>
      <c r="D28" s="8"/>
      <c r="E28" s="8"/>
      <c r="F28" s="8"/>
      <c r="G28" s="8"/>
      <c r="H28" s="8"/>
      <c r="I28" s="2"/>
      <c r="J28" s="29"/>
      <c r="K28" s="10"/>
      <c r="L28" s="8"/>
      <c r="M28" s="8"/>
      <c r="N28" s="8"/>
      <c r="O28" s="8"/>
      <c r="P28" s="8"/>
      <c r="Q28" s="29"/>
      <c r="R28" s="8"/>
    </row>
    <row r="29" spans="1:18" ht="30" customHeight="1" x14ac:dyDescent="0.25">
      <c r="A29" s="2"/>
      <c r="B29" s="8"/>
      <c r="C29" s="8"/>
      <c r="D29" s="8"/>
      <c r="E29" s="8"/>
      <c r="F29" s="8"/>
      <c r="G29" s="8"/>
      <c r="H29" s="8"/>
      <c r="I29" s="2"/>
      <c r="J29" s="29"/>
      <c r="K29" s="10"/>
      <c r="L29" s="8"/>
      <c r="M29" s="8"/>
      <c r="N29" s="8"/>
      <c r="O29" s="8"/>
      <c r="P29" s="8"/>
      <c r="Q29" s="29"/>
      <c r="R29" s="8"/>
    </row>
    <row r="30" spans="1:18" ht="45" customHeight="1" x14ac:dyDescent="0.25">
      <c r="A30" s="2"/>
      <c r="B30" s="8"/>
      <c r="C30" s="8"/>
      <c r="D30" s="8"/>
      <c r="E30" s="8"/>
      <c r="F30" s="8"/>
      <c r="G30" s="8"/>
      <c r="H30" s="8"/>
      <c r="I30" s="2"/>
      <c r="J30" s="29"/>
      <c r="K30" s="10"/>
      <c r="L30" s="8"/>
      <c r="M30" s="8"/>
      <c r="N30" s="8"/>
      <c r="O30" s="8"/>
      <c r="P30" s="8"/>
      <c r="Q30" s="29"/>
      <c r="R30" s="8"/>
    </row>
    <row r="31" spans="1:18" ht="30" customHeight="1" x14ac:dyDescent="0.25">
      <c r="A31" s="2"/>
      <c r="B31" s="8"/>
      <c r="C31" s="8"/>
      <c r="D31" s="8"/>
      <c r="E31" s="8"/>
      <c r="F31" s="8"/>
      <c r="G31" s="8"/>
      <c r="H31" s="8"/>
      <c r="I31" s="2"/>
      <c r="J31" s="29"/>
      <c r="K31" s="10"/>
      <c r="L31" s="8"/>
      <c r="M31" s="8"/>
      <c r="N31" s="8"/>
      <c r="O31" s="8"/>
      <c r="P31" s="8"/>
      <c r="Q31" s="29"/>
      <c r="R31" s="8"/>
    </row>
    <row r="32" spans="1:18" ht="45" customHeight="1" x14ac:dyDescent="0.25">
      <c r="A32" s="2"/>
      <c r="B32" s="8"/>
      <c r="C32" s="8"/>
      <c r="D32" s="8"/>
      <c r="E32" s="8"/>
      <c r="F32" s="8"/>
      <c r="G32" s="8"/>
      <c r="H32" s="8"/>
      <c r="I32" s="2"/>
      <c r="J32" s="29"/>
      <c r="K32" s="10"/>
      <c r="L32" s="8"/>
      <c r="M32" s="8"/>
      <c r="N32" s="8"/>
      <c r="O32" s="8"/>
      <c r="P32" s="8"/>
      <c r="Q32" s="29"/>
      <c r="R32" s="8"/>
    </row>
    <row r="33" spans="1:18" ht="45" customHeight="1" x14ac:dyDescent="0.25">
      <c r="A33" s="2"/>
      <c r="B33" s="8"/>
      <c r="C33" s="8"/>
      <c r="D33" s="8"/>
      <c r="E33" s="8"/>
      <c r="F33" s="8"/>
      <c r="G33" s="8"/>
      <c r="H33" s="8"/>
      <c r="I33" s="2"/>
      <c r="J33" s="29"/>
      <c r="K33" s="10"/>
      <c r="L33" s="8"/>
      <c r="M33" s="8"/>
      <c r="N33" s="8"/>
      <c r="O33" s="8"/>
      <c r="P33" s="8"/>
      <c r="Q33" s="29"/>
      <c r="R33" s="8"/>
    </row>
    <row r="34" spans="1:18" ht="45" customHeight="1" x14ac:dyDescent="0.25">
      <c r="A34" s="2"/>
      <c r="B34" s="8"/>
      <c r="C34" s="8"/>
      <c r="D34" s="8"/>
      <c r="E34" s="8"/>
      <c r="F34" s="8"/>
      <c r="G34" s="8"/>
      <c r="H34" s="8"/>
      <c r="I34" s="2"/>
      <c r="J34" s="29"/>
      <c r="K34" s="10"/>
      <c r="L34" s="8"/>
      <c r="M34" s="8"/>
      <c r="N34" s="8"/>
      <c r="O34" s="8"/>
      <c r="P34" s="8"/>
      <c r="Q34" s="29"/>
      <c r="R34" s="8"/>
    </row>
    <row r="35" spans="1:18" ht="45" customHeight="1" x14ac:dyDescent="0.25">
      <c r="A35" s="2"/>
      <c r="B35" s="8"/>
      <c r="C35" s="8"/>
      <c r="D35" s="8"/>
      <c r="E35" s="8"/>
      <c r="F35" s="8"/>
      <c r="G35" s="8"/>
      <c r="H35" s="8"/>
      <c r="I35" s="2"/>
      <c r="J35" s="29"/>
      <c r="K35" s="10"/>
      <c r="L35" s="8"/>
      <c r="M35" s="8"/>
      <c r="N35" s="8"/>
      <c r="O35" s="8"/>
      <c r="P35" s="8"/>
      <c r="Q35" s="29"/>
      <c r="R35" s="8"/>
    </row>
    <row r="36" spans="1:18" ht="45" customHeight="1" x14ac:dyDescent="0.25">
      <c r="A36" s="2"/>
      <c r="B36" s="8"/>
      <c r="C36" s="8"/>
      <c r="D36" s="8"/>
      <c r="E36" s="8"/>
      <c r="F36" s="8"/>
      <c r="G36" s="8"/>
      <c r="H36" s="8"/>
      <c r="I36" s="2"/>
      <c r="J36" s="29"/>
      <c r="K36" s="10"/>
      <c r="L36" s="8"/>
      <c r="M36" s="8"/>
      <c r="N36" s="8"/>
      <c r="O36" s="8"/>
      <c r="P36" s="8"/>
      <c r="Q36" s="29"/>
      <c r="R36" s="8"/>
    </row>
    <row r="37" spans="1:18" ht="60" customHeight="1" x14ac:dyDescent="0.25">
      <c r="A37" s="2"/>
      <c r="B37" s="8"/>
      <c r="C37" s="8"/>
      <c r="D37" s="8"/>
      <c r="E37" s="8"/>
      <c r="F37" s="8"/>
      <c r="G37" s="8"/>
      <c r="H37" s="8"/>
      <c r="I37" s="2"/>
      <c r="J37" s="29"/>
      <c r="K37" s="10"/>
      <c r="L37" s="8"/>
      <c r="M37" s="8"/>
      <c r="N37" s="8"/>
      <c r="O37" s="8"/>
      <c r="P37" s="8"/>
      <c r="Q37" s="29"/>
      <c r="R37" s="8"/>
    </row>
    <row r="38" spans="1:18" ht="60" customHeight="1" x14ac:dyDescent="0.25">
      <c r="A38" s="2"/>
      <c r="B38" s="8"/>
      <c r="C38" s="8"/>
      <c r="D38" s="8"/>
      <c r="E38" s="8"/>
      <c r="F38" s="8"/>
      <c r="G38" s="8"/>
      <c r="H38" s="8"/>
      <c r="I38" s="2"/>
      <c r="J38" s="29"/>
      <c r="K38" s="29"/>
      <c r="L38" s="8"/>
      <c r="M38" s="8"/>
      <c r="N38" s="8"/>
      <c r="O38" s="8"/>
      <c r="P38" s="8"/>
      <c r="Q38" s="29"/>
      <c r="R38" s="8"/>
    </row>
    <row r="39" spans="1:18" ht="45" customHeight="1" x14ac:dyDescent="0.25">
      <c r="A39" s="2"/>
      <c r="B39" s="8"/>
      <c r="C39" s="8"/>
      <c r="D39" s="8"/>
      <c r="E39" s="8"/>
      <c r="F39" s="8"/>
      <c r="G39" s="8"/>
      <c r="H39" s="8"/>
      <c r="I39" s="2"/>
      <c r="J39" s="29"/>
      <c r="K39" s="10"/>
      <c r="L39" s="8"/>
      <c r="M39" s="8"/>
      <c r="N39" s="8"/>
      <c r="O39" s="8"/>
      <c r="P39" s="8"/>
      <c r="Q39" s="29"/>
      <c r="R39" s="8"/>
    </row>
    <row r="40" spans="1:18" ht="45" customHeight="1" x14ac:dyDescent="0.25">
      <c r="A40" s="2"/>
      <c r="B40" s="8"/>
      <c r="C40" s="8"/>
      <c r="D40" s="8"/>
      <c r="E40" s="8"/>
      <c r="F40" s="8"/>
      <c r="G40" s="8"/>
      <c r="H40" s="8"/>
      <c r="I40" s="2"/>
      <c r="J40" s="29"/>
      <c r="K40" s="10"/>
      <c r="L40" s="8"/>
      <c r="M40" s="8"/>
      <c r="N40" s="8"/>
      <c r="O40" s="8"/>
      <c r="P40" s="8"/>
      <c r="Q40" s="29"/>
      <c r="R40" s="8"/>
    </row>
    <row r="41" spans="1:18" ht="45" customHeight="1" x14ac:dyDescent="0.25">
      <c r="A41" s="2"/>
      <c r="B41" s="8"/>
      <c r="C41" s="8"/>
      <c r="D41" s="8"/>
      <c r="E41" s="8"/>
      <c r="F41" s="8"/>
      <c r="G41" s="8"/>
      <c r="H41" s="8"/>
      <c r="I41" s="2"/>
      <c r="J41" s="29"/>
      <c r="K41" s="29"/>
      <c r="L41" s="8"/>
      <c r="M41" s="8"/>
      <c r="N41" s="8"/>
      <c r="O41" s="8"/>
      <c r="P41" s="8"/>
      <c r="Q41" s="29"/>
      <c r="R41" s="8"/>
    </row>
    <row r="42" spans="1:18" ht="45" customHeight="1" x14ac:dyDescent="0.25">
      <c r="A42" s="2"/>
      <c r="B42" s="8"/>
      <c r="C42" s="8"/>
      <c r="D42" s="8"/>
      <c r="E42" s="8"/>
      <c r="F42" s="8"/>
      <c r="G42" s="8"/>
      <c r="H42" s="8"/>
      <c r="I42" s="2"/>
      <c r="J42" s="29"/>
      <c r="K42" s="29"/>
      <c r="L42" s="8"/>
      <c r="M42" s="8"/>
      <c r="N42" s="8"/>
      <c r="O42" s="8"/>
      <c r="P42" s="8"/>
      <c r="Q42" s="29"/>
      <c r="R42" s="8"/>
    </row>
    <row r="43" spans="1:18" ht="30" customHeight="1" x14ac:dyDescent="0.25">
      <c r="A43" s="2"/>
      <c r="B43" s="8"/>
      <c r="C43" s="8"/>
      <c r="D43" s="8"/>
      <c r="E43" s="8"/>
      <c r="F43" s="8"/>
      <c r="G43" s="8"/>
      <c r="H43" s="8"/>
      <c r="I43" s="2"/>
      <c r="J43" s="29"/>
      <c r="K43" s="29"/>
      <c r="L43" s="8"/>
      <c r="M43" s="8"/>
      <c r="N43" s="8"/>
      <c r="O43" s="8"/>
      <c r="P43" s="8"/>
      <c r="Q43" s="29"/>
      <c r="R43" s="8"/>
    </row>
    <row r="44" spans="1:18" ht="30" customHeight="1" x14ac:dyDescent="0.25">
      <c r="A44" s="2"/>
      <c r="B44" s="8"/>
      <c r="C44" s="8"/>
      <c r="D44" s="8"/>
      <c r="E44" s="8"/>
      <c r="F44" s="8"/>
      <c r="G44" s="8"/>
      <c r="H44" s="8"/>
      <c r="I44" s="2"/>
      <c r="J44" s="29"/>
      <c r="K44" s="10"/>
      <c r="L44" s="8"/>
      <c r="M44" s="8"/>
      <c r="N44" s="8"/>
      <c r="O44" s="8"/>
      <c r="P44" s="8"/>
      <c r="Q44" s="29"/>
      <c r="R44" s="8"/>
    </row>
    <row r="45" spans="1:18" ht="30" customHeight="1" x14ac:dyDescent="0.25">
      <c r="A45" s="2"/>
      <c r="B45" s="8"/>
      <c r="C45" s="8"/>
      <c r="D45" s="8"/>
      <c r="E45" s="8"/>
      <c r="F45" s="8"/>
      <c r="G45" s="8"/>
      <c r="H45" s="8"/>
      <c r="I45" s="2"/>
      <c r="J45" s="29"/>
      <c r="K45" s="29"/>
      <c r="L45" s="8"/>
      <c r="M45" s="8"/>
      <c r="N45" s="8"/>
      <c r="O45" s="8"/>
      <c r="P45" s="8"/>
      <c r="Q45" s="29"/>
      <c r="R45" s="8"/>
    </row>
    <row r="46" spans="1:18" ht="30" customHeight="1" x14ac:dyDescent="0.25">
      <c r="A46" s="2"/>
      <c r="B46" s="8"/>
      <c r="C46" s="8"/>
      <c r="D46" s="8"/>
      <c r="E46" s="8"/>
      <c r="F46" s="8"/>
      <c r="G46" s="8"/>
      <c r="H46" s="8"/>
      <c r="I46" s="2"/>
      <c r="J46" s="29"/>
      <c r="K46" s="10"/>
      <c r="L46" s="8"/>
      <c r="M46" s="8"/>
      <c r="N46" s="8"/>
      <c r="O46" s="8"/>
      <c r="P46" s="8"/>
      <c r="Q46" s="29"/>
      <c r="R46" s="8"/>
    </row>
    <row r="47" spans="1:18" ht="45" customHeight="1" x14ac:dyDescent="0.25">
      <c r="A47" s="2"/>
      <c r="B47" s="8"/>
      <c r="C47" s="8"/>
      <c r="D47" s="8"/>
      <c r="E47" s="8"/>
      <c r="F47" s="8"/>
      <c r="G47" s="8"/>
      <c r="H47" s="8"/>
      <c r="I47" s="2"/>
      <c r="J47" s="29"/>
      <c r="K47" s="29"/>
      <c r="L47" s="8"/>
      <c r="M47" s="8"/>
      <c r="N47" s="8"/>
      <c r="O47" s="8"/>
      <c r="P47" s="8"/>
      <c r="Q47" s="29"/>
      <c r="R47" s="8"/>
    </row>
    <row r="48" spans="1:18" ht="45" customHeight="1" x14ac:dyDescent="0.25">
      <c r="A48" s="2"/>
      <c r="B48" s="8"/>
      <c r="C48" s="8"/>
      <c r="D48" s="8"/>
      <c r="E48" s="8"/>
      <c r="F48" s="8"/>
      <c r="G48" s="8"/>
      <c r="H48" s="8"/>
      <c r="I48" s="2"/>
      <c r="J48" s="29"/>
      <c r="K48" s="10"/>
      <c r="L48" s="8"/>
      <c r="M48" s="8"/>
      <c r="N48" s="8"/>
      <c r="O48" s="8"/>
      <c r="P48" s="8"/>
      <c r="Q48" s="29"/>
      <c r="R48" s="8"/>
    </row>
    <row r="49" spans="1:18" ht="30" customHeight="1" x14ac:dyDescent="0.25">
      <c r="A49" s="2"/>
      <c r="B49" s="8"/>
      <c r="C49" s="8"/>
      <c r="D49" s="8"/>
      <c r="E49" s="8"/>
      <c r="F49" s="8"/>
      <c r="G49" s="8"/>
      <c r="H49" s="8"/>
      <c r="I49" s="2"/>
      <c r="J49" s="29"/>
      <c r="K49" s="10"/>
      <c r="L49" s="8"/>
      <c r="M49" s="8"/>
      <c r="N49" s="8"/>
      <c r="O49" s="8"/>
      <c r="P49" s="8"/>
      <c r="Q49" s="29"/>
      <c r="R49" s="8"/>
    </row>
    <row r="50" spans="1:18" ht="30" customHeight="1" x14ac:dyDescent="0.25">
      <c r="A50" s="2"/>
      <c r="B50" s="8"/>
      <c r="C50" s="8"/>
      <c r="D50" s="8"/>
      <c r="E50" s="8"/>
      <c r="F50" s="8"/>
      <c r="G50" s="8"/>
      <c r="H50" s="8"/>
      <c r="I50" s="2"/>
      <c r="J50" s="29"/>
      <c r="K50" s="29"/>
      <c r="L50" s="8"/>
      <c r="M50" s="8"/>
      <c r="N50" s="8"/>
      <c r="O50" s="8"/>
      <c r="P50" s="8"/>
      <c r="Q50" s="29"/>
      <c r="R50" s="8"/>
    </row>
    <row r="51" spans="1:18" ht="45" customHeight="1" x14ac:dyDescent="0.25">
      <c r="A51" s="2"/>
      <c r="B51" s="8"/>
      <c r="C51" s="8"/>
      <c r="D51" s="8"/>
      <c r="E51" s="8"/>
      <c r="F51" s="8"/>
      <c r="G51" s="8"/>
      <c r="H51" s="8"/>
      <c r="I51" s="2"/>
      <c r="J51" s="29"/>
      <c r="K51" s="29"/>
      <c r="L51" s="8"/>
      <c r="M51" s="8"/>
      <c r="N51" s="8"/>
      <c r="O51" s="8"/>
      <c r="P51" s="8"/>
      <c r="Q51" s="29"/>
      <c r="R51" s="8"/>
    </row>
    <row r="52" spans="1:18" ht="30" customHeight="1" x14ac:dyDescent="0.25">
      <c r="A52" s="2"/>
      <c r="B52" s="8"/>
      <c r="C52" s="8"/>
      <c r="D52" s="8"/>
      <c r="E52" s="8"/>
      <c r="F52" s="8"/>
      <c r="G52" s="8"/>
      <c r="H52" s="8"/>
      <c r="I52" s="2"/>
      <c r="J52" s="29"/>
      <c r="K52" s="29"/>
      <c r="L52" s="8"/>
      <c r="M52" s="8"/>
      <c r="N52" s="8"/>
      <c r="O52" s="8"/>
      <c r="P52" s="8"/>
      <c r="Q52" s="29"/>
      <c r="R52" s="8"/>
    </row>
    <row r="53" spans="1:18" ht="30" customHeight="1" x14ac:dyDescent="0.25">
      <c r="A53" s="2"/>
      <c r="B53" s="8"/>
      <c r="C53" s="8"/>
      <c r="D53" s="8"/>
      <c r="E53" s="8"/>
      <c r="F53" s="8"/>
      <c r="G53" s="8"/>
      <c r="H53" s="8"/>
      <c r="I53" s="2"/>
      <c r="J53" s="29"/>
      <c r="K53" s="29"/>
      <c r="L53" s="8"/>
      <c r="M53" s="8"/>
      <c r="N53" s="8"/>
      <c r="O53" s="8"/>
      <c r="P53" s="8"/>
      <c r="Q53" s="29"/>
      <c r="R53" s="8"/>
    </row>
    <row r="54" spans="1:18" ht="60" customHeight="1" x14ac:dyDescent="0.25">
      <c r="A54" s="2"/>
      <c r="B54" s="8"/>
      <c r="C54" s="8"/>
      <c r="D54" s="8"/>
      <c r="E54" s="8"/>
      <c r="F54" s="8"/>
      <c r="G54" s="8"/>
      <c r="H54" s="8"/>
      <c r="I54" s="2"/>
      <c r="J54" s="29"/>
      <c r="K54" s="29"/>
      <c r="L54" s="8"/>
      <c r="M54" s="8"/>
      <c r="N54" s="8"/>
      <c r="O54" s="8"/>
      <c r="P54" s="8"/>
      <c r="Q54" s="29"/>
      <c r="R54" s="8"/>
    </row>
    <row r="55" spans="1:18" ht="60" customHeight="1" x14ac:dyDescent="0.25">
      <c r="A55" s="2"/>
      <c r="B55" s="8"/>
      <c r="C55" s="8"/>
      <c r="D55" s="8"/>
      <c r="E55" s="8"/>
      <c r="F55" s="8"/>
      <c r="G55" s="8"/>
      <c r="H55" s="8"/>
      <c r="I55" s="2"/>
      <c r="J55" s="29"/>
      <c r="K55" s="29"/>
      <c r="L55" s="8"/>
      <c r="M55" s="8"/>
      <c r="N55" s="8"/>
      <c r="O55" s="8"/>
      <c r="P55" s="8"/>
      <c r="Q55" s="29"/>
      <c r="R55" s="8"/>
    </row>
    <row r="57" spans="1:18" ht="42" customHeight="1" x14ac:dyDescent="0.25">
      <c r="A57" s="35" t="inlineStr">
        <is>
          <t xml:space="preserve">PB-001 a PB-004 correspondem aos requisitos RF-01, RF-02, RF-03 e RNF-01; PB-005 a PB-007 vêm das pendências da Ata/TAP; PB-008 e PB-009 vêm do escopo incluído.</t>
        </is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</row>
  </sheetData>
  <mergeCells count="3">
    <mergeCell ref="A2:R2"/>
    <mergeCell ref="A57:R57"/>
    <mergeCell ref="A1:R1"/>
  </mergeCells>
  <dataValidations count="5">
    <dataValidation type="list" sqref="E5:E55" xr:uid="{00000000-0002-0000-0A00-000000000000}">
      <formula1>"Must,Should,Could,Won't"</formula1>
      <formula2>0</formula2>
    </dataValidation>
    <dataValidation type="list" sqref="F5:F55" xr:uid="{00000000-0002-0000-0A00-000001000000}">
      <formula1>"1,2,3,5,8,13,21"</formula1>
      <formula2>0</formula2>
    </dataValidation>
    <dataValidation type="list" sqref="G5:G55" xr:uid="{00000000-0002-0000-0A00-000002000000}">
      <formula1>"Backlog,Sprint 1,Sprint 2,Sprint 3,Sprint 4"</formula1>
      <formula2>0</formula2>
    </dataValidation>
    <dataValidation type="list" sqref="I5:I55" xr:uid="{00000000-0002-0000-0A00-000003000000}">
      <formula1>"Não iniciado,Em andamento,Aguardando parceiro,Em validação,Concluído,Bloqueado"</formula1>
      <formula2>0</formula2>
    </dataValidation>
    <dataValidation type="list" allowBlank="1" sqref="P5:P55" xr:uid="{00000000-0002-0000-0900-000004000000}">
      <formula1>"CRIAR,ATUALIZAR,SINCRONIZAR,IGNORAR"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1"/>
  <sheetViews>
    <sheetView zoomScaleNormal="100" workbookViewId="0">
      <selection activeCell="K22" sqref="K22"/>
    </sheetView>
  </sheetViews>
  <sheetFormatPr defaultColWidth="8.7109375" defaultRowHeight="15" x14ac:dyDescent="0.25"/>
  <cols>
    <col min="1" max="1" width="12" customWidth="1"/>
    <col min="2" max="2" width="14" customWidth="1"/>
    <col min="3" max="3" width="10" customWidth="1"/>
    <col min="4" max="4" width="42" customWidth="1"/>
    <col min="5" max="5" width="10" customWidth="1"/>
    <col min="6" max="6" width="12" customWidth="1"/>
    <col min="7" max="7" width="14" customWidth="1"/>
    <col min="8" max="8" width="12" customWidth="1"/>
    <col min="9" max="9" width="32" customWidth="1"/>
    <col min="10" max="10" width="38" customWidth="1"/>
    <col min="11" max="11" width="18" customWidth="1"/>
  </cols>
  <sheetData>
    <row r="1" spans="1:11" ht="30" customHeight="1" x14ac:dyDescent="0.25">
      <c r="A1" s="37" t="s">
        <v>248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21.75" customHeight="1" x14ac:dyDescent="0.25">
      <c r="A2" s="35" t="s">
        <v>249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4" spans="1:11" ht="27.75" customHeight="1" x14ac:dyDescent="0.25">
      <c r="A4" s="3" t="s">
        <v>121</v>
      </c>
      <c r="B4" s="3" t="s">
        <v>250</v>
      </c>
      <c r="C4" s="3" t="s">
        <v>189</v>
      </c>
      <c r="D4" s="3" t="s">
        <v>183</v>
      </c>
      <c r="E4" s="3" t="s">
        <v>251</v>
      </c>
      <c r="F4" s="3" t="s">
        <v>252</v>
      </c>
      <c r="G4" s="3" t="s">
        <v>253</v>
      </c>
      <c r="H4" s="3" t="s">
        <v>254</v>
      </c>
      <c r="I4" s="3" t="s">
        <v>255</v>
      </c>
      <c r="J4" s="3" t="s">
        <v>131</v>
      </c>
      <c r="K4" s="3" t="s">
        <v>256</v>
      </c>
    </row>
    <row r="5" spans="1:11" ht="60" customHeight="1" x14ac:dyDescent="0.25">
      <c r="A5" s="2">
        <v>1</v>
      </c>
      <c r="B5" s="10">
        <v>46252</v>
      </c>
      <c r="C5" s="8"/>
      <c r="D5" s="13" t="inlineStr">
        <is>
          <t xml:space="preserve">Reunião interna da equipe: viabilidade do parceiro, justificativa de seleção direta, governança e roteiro de primeiro contato</t>
        </is>
      </c>
      <c r="E5" s="8"/>
      <c r="F5" s="14"/>
      <c r="G5" s="14"/>
      <c r="H5" s="15">
        <f t="shared" ref="H5:H36" si="0">SUM(F5:G5)</f>
      </c>
      <c r="I5" s="8" t="inlineStr">
        <is>
          <t xml:space="preserve">Arthur Laranjeira; Lucas De Gois; Gabriel Candido; João Lucas</t>
        </is>
      </c>
      <c r="J5" s="8" t="inlineStr">
        <is>
          <t xml:space="preserve">Diário de bordo — Entrada 1</t>
        </is>
      </c>
      <c r="K5" s="8" t="inlineStr">
        <is>
          <t xml:space="preserve">Pendente</t>
        </is>
      </c>
    </row>
    <row r="6" spans="1:11" ht="75" customHeight="1" x14ac:dyDescent="0.25">
      <c r="A6" s="2">
        <v>2</v>
      </c>
      <c r="B6" s="10">
        <v>46252</v>
      </c>
      <c r="C6" s="8"/>
      <c r="D6" s="13" t="inlineStr">
        <is>
          <t xml:space="preserve">Reunião de diagnóstico e alinhamento inicial com o parceiro (presencial em Ibiúna/SP)</t>
        </is>
      </c>
      <c r="E6" s="8"/>
      <c r="F6" s="14"/>
      <c r="G6" s="14"/>
      <c r="H6" s="15">
        <f t="shared" si="0"/>
      </c>
      <c r="I6" s="8" t="inlineStr">
        <is>
          <t xml:space="preserve">Arthur Laranjeira</t>
        </is>
      </c>
      <c r="J6" s="8" t="inlineStr">
        <is>
          <t xml:space="preserve">Diário de bordo — Entrada 2</t>
        </is>
      </c>
      <c r="K6" s="8" t="inlineStr">
        <is>
          <t xml:space="preserve">Pendente</t>
        </is>
      </c>
    </row>
    <row r="7" spans="1:11" ht="60" customHeight="1" x14ac:dyDescent="0.25">
      <c r="A7" s="2">
        <v>3</v>
      </c>
      <c r="B7" s="10">
        <v>46252</v>
      </c>
      <c r="C7" s="8"/>
      <c r="D7" s="8" t="inlineStr">
        <is>
          <t xml:space="preserve">Reunião de validação de escopo e TAP v1.2 (presencial em Ibiúna/SP, 10h00)</t>
        </is>
      </c>
      <c r="E7" s="8"/>
      <c r="F7" s="14"/>
      <c r="G7" s="14"/>
      <c r="H7" s="15">
        <f t="shared" si="0"/>
      </c>
      <c r="I7" s="8" t="inlineStr">
        <is>
          <t xml:space="preserve">Arthur Laranjeira (presente); Lucas De Gois, Gabriel Candido, João Lucas e Prof. Sandro Amâncio de Sá (convocados)</t>
        </is>
      </c>
      <c r="J7" s="8" t="inlineStr">
        <is>
          <t xml:space="preserve">Ata de Validação de Escopo e TAP v1.2</t>
        </is>
      </c>
      <c r="K7" s="8" t="inlineStr">
        <is>
          <t xml:space="preserve">Pendente</t>
        </is>
      </c>
    </row>
    <row r="8" spans="1:11" ht="60" customHeight="1" x14ac:dyDescent="0.25">
      <c r="A8" s="2">
        <v>4</v>
      </c>
      <c r="B8" s="10"/>
      <c r="C8" s="8"/>
      <c r="D8" s="8"/>
      <c r="E8" s="8"/>
      <c r="F8" s="14"/>
      <c r="G8" s="14"/>
      <c r="H8" s="15">
        <f t="shared" si="0"/>
      </c>
      <c r="I8" s="8"/>
      <c r="J8" s="8"/>
      <c r="K8" s="8" t="inlineStr">
        <is>
          <t xml:space="preserve">Pendente</t>
        </is>
      </c>
    </row>
    <row r="9" spans="1:11" ht="47.25" customHeight="1" x14ac:dyDescent="0.25">
      <c r="A9" s="2">
        <v>5</v>
      </c>
      <c r="B9" s="10"/>
      <c r="C9" s="8"/>
      <c r="D9" s="13"/>
      <c r="E9" s="8"/>
      <c r="F9" s="14"/>
      <c r="G9" s="14"/>
      <c r="H9" s="15">
        <f t="shared" si="0"/>
      </c>
      <c r="I9" s="8"/>
      <c r="J9" s="8"/>
      <c r="K9" s="8" t="inlineStr">
        <is>
          <t xml:space="preserve">Pendente</t>
        </is>
      </c>
    </row>
    <row r="10" spans="1:11" ht="47.25" customHeight="1" x14ac:dyDescent="0.25">
      <c r="A10" s="2">
        <v>6</v>
      </c>
      <c r="B10" s="10"/>
      <c r="C10" s="8"/>
      <c r="D10" s="13"/>
      <c r="E10" s="8"/>
      <c r="F10" s="14"/>
      <c r="G10" s="14"/>
      <c r="H10" s="15">
        <f t="shared" si="0"/>
      </c>
      <c r="I10" s="8"/>
      <c r="J10" s="8"/>
      <c r="K10" s="8" t="inlineStr">
        <is>
          <t xml:space="preserve">Pendente</t>
        </is>
      </c>
    </row>
    <row r="11" spans="1:11" ht="47.25" customHeight="1" x14ac:dyDescent="0.25">
      <c r="A11" s="2">
        <v>7</v>
      </c>
      <c r="B11" s="10"/>
      <c r="C11" s="8"/>
      <c r="D11" s="13"/>
      <c r="E11" s="8"/>
      <c r="F11" s="14"/>
      <c r="G11" s="14"/>
      <c r="H11" s="15">
        <f t="shared" si="0"/>
      </c>
      <c r="I11" s="8"/>
      <c r="J11" s="8"/>
      <c r="K11" s="8" t="inlineStr">
        <is>
          <t xml:space="preserve">Pendente</t>
        </is>
      </c>
    </row>
    <row r="12" spans="1:11" ht="47.25" customHeight="1" x14ac:dyDescent="0.25">
      <c r="A12" s="2">
        <v>8</v>
      </c>
      <c r="B12" s="10"/>
      <c r="C12" s="8"/>
      <c r="D12" s="13"/>
      <c r="E12" s="8"/>
      <c r="F12" s="14"/>
      <c r="G12" s="14"/>
      <c r="H12" s="15">
        <f t="shared" si="0"/>
      </c>
      <c r="I12" s="8"/>
      <c r="J12" s="8"/>
      <c r="K12" s="8" t="inlineStr">
        <is>
          <t xml:space="preserve">Pendente</t>
        </is>
      </c>
    </row>
    <row r="13" spans="1:11" ht="47.25" customHeight="1" x14ac:dyDescent="0.25">
      <c r="A13" s="2">
        <v>9</v>
      </c>
      <c r="B13" s="10"/>
      <c r="C13" s="8"/>
      <c r="D13" s="13"/>
      <c r="E13" s="8"/>
      <c r="F13" s="14"/>
      <c r="G13" s="14"/>
      <c r="H13" s="15">
        <f t="shared" si="0"/>
      </c>
      <c r="I13" s="8"/>
      <c r="J13" s="8"/>
      <c r="K13" s="8" t="inlineStr">
        <is>
          <t xml:space="preserve">Pendente</t>
        </is>
      </c>
    </row>
    <row r="14" spans="1:11" ht="60" x14ac:dyDescent="0.25">
      <c r="A14" s="2">
        <v>10</v>
      </c>
      <c r="B14" s="29"/>
      <c r="C14" s="27"/>
      <c r="D14" s="27"/>
      <c r="E14" s="27"/>
      <c r="F14" s="30"/>
      <c r="G14" s="30"/>
      <c r="H14" s="15">
        <f t="shared" si="0"/>
      </c>
      <c r="I14" s="27"/>
      <c r="J14" s="27"/>
      <c r="K14" s="8" t="inlineStr">
        <is>
          <t xml:space="preserve">Pendente</t>
        </is>
      </c>
    </row>
    <row r="15" spans="1:11" ht="60" x14ac:dyDescent="0.25">
      <c r="A15" s="2">
        <v>11</v>
      </c>
      <c r="B15" s="29"/>
      <c r="C15" s="27"/>
      <c r="D15" s="27"/>
      <c r="E15" s="27"/>
      <c r="F15" s="30"/>
      <c r="G15" s="30"/>
      <c r="H15" s="15">
        <f t="shared" si="0"/>
      </c>
      <c r="I15" s="27"/>
      <c r="J15" s="27"/>
      <c r="K15" s="8" t="inlineStr">
        <is>
          <t xml:space="preserve">Pendente</t>
        </is>
      </c>
    </row>
    <row r="16" spans="1:11" ht="60" x14ac:dyDescent="0.25">
      <c r="A16" s="2">
        <v>12</v>
      </c>
      <c r="B16" s="29"/>
      <c r="C16" s="27"/>
      <c r="D16" s="27"/>
      <c r="E16" s="27"/>
      <c r="F16" s="30"/>
      <c r="G16" s="30"/>
      <c r="H16" s="15">
        <f t="shared" si="0"/>
      </c>
      <c r="I16" s="27"/>
      <c r="J16" s="27"/>
      <c r="K16" s="8" t="inlineStr">
        <is>
          <t xml:space="preserve">Pendente</t>
        </is>
      </c>
    </row>
    <row r="17" spans="1:11" ht="60" x14ac:dyDescent="0.25">
      <c r="A17" s="2">
        <v>13</v>
      </c>
      <c r="B17" s="29"/>
      <c r="C17" s="27"/>
      <c r="D17" s="27"/>
      <c r="E17" s="27"/>
      <c r="F17" s="30"/>
      <c r="G17" s="30"/>
      <c r="H17" s="15">
        <f t="shared" si="0"/>
      </c>
      <c r="I17" s="27"/>
      <c r="J17" s="27"/>
      <c r="K17" s="8" t="inlineStr">
        <is>
          <t xml:space="preserve">Pendente</t>
        </is>
      </c>
    </row>
    <row r="18" spans="1:11" ht="60" x14ac:dyDescent="0.25">
      <c r="A18" s="2">
        <v>14</v>
      </c>
      <c r="B18" s="29"/>
      <c r="C18" s="27"/>
      <c r="D18" s="27"/>
      <c r="E18" s="27"/>
      <c r="F18" s="30"/>
      <c r="G18" s="30"/>
      <c r="H18" s="15">
        <f t="shared" si="0"/>
      </c>
      <c r="I18" s="27"/>
      <c r="J18" s="27"/>
      <c r="K18" s="8" t="inlineStr">
        <is>
          <t xml:space="preserve">Pendente</t>
        </is>
      </c>
    </row>
    <row r="19" spans="1:11" ht="60" x14ac:dyDescent="0.25">
      <c r="A19" s="2">
        <v>15</v>
      </c>
      <c r="B19" s="29"/>
      <c r="C19" s="27"/>
      <c r="D19" s="27"/>
      <c r="E19" s="27"/>
      <c r="F19" s="30"/>
      <c r="G19" s="30"/>
      <c r="H19" s="15">
        <f t="shared" si="0"/>
      </c>
      <c r="I19" s="27"/>
      <c r="J19" s="27"/>
      <c r="K19" s="8" t="inlineStr">
        <is>
          <t xml:space="preserve">Pendente</t>
        </is>
      </c>
    </row>
    <row r="20" spans="1:11" ht="60" x14ac:dyDescent="0.25">
      <c r="A20" s="2">
        <v>16</v>
      </c>
      <c r="B20" s="29"/>
      <c r="C20" s="27"/>
      <c r="D20" s="27"/>
      <c r="E20" s="27"/>
      <c r="F20" s="30"/>
      <c r="G20" s="30"/>
      <c r="H20" s="15">
        <f t="shared" si="0"/>
      </c>
      <c r="I20" s="27"/>
      <c r="J20" s="27"/>
      <c r="K20" s="8" t="inlineStr">
        <is>
          <t xml:space="preserve">Pendente</t>
        </is>
      </c>
    </row>
    <row r="21" spans="1:11" ht="60" x14ac:dyDescent="0.25">
      <c r="A21" s="2">
        <v>17</v>
      </c>
      <c r="B21" s="29"/>
      <c r="C21" s="27"/>
      <c r="D21" s="27"/>
      <c r="E21" s="27"/>
      <c r="F21" s="30"/>
      <c r="G21" s="30"/>
      <c r="H21" s="15">
        <f t="shared" si="0"/>
      </c>
      <c r="I21" s="27"/>
      <c r="J21" s="27"/>
      <c r="K21" s="8" t="inlineStr">
        <is>
          <t xml:space="preserve">Pendente</t>
        </is>
      </c>
    </row>
    <row r="22" spans="1:11" ht="60" x14ac:dyDescent="0.25">
      <c r="A22" s="2">
        <v>18</v>
      </c>
      <c r="B22" s="29"/>
      <c r="C22" s="27"/>
      <c r="D22" s="27"/>
      <c r="E22" s="27"/>
      <c r="F22" s="30"/>
      <c r="G22" s="30"/>
      <c r="H22" s="15">
        <f t="shared" si="0"/>
      </c>
      <c r="I22" s="27"/>
      <c r="J22" s="27"/>
      <c r="K22" s="8" t="inlineStr">
        <is>
          <t xml:space="preserve">Pendente</t>
        </is>
      </c>
    </row>
    <row r="23" spans="1:11" ht="60" x14ac:dyDescent="0.25">
      <c r="A23" s="2">
        <v>19</v>
      </c>
      <c r="B23" s="29"/>
      <c r="C23" s="27"/>
      <c r="D23" s="27"/>
      <c r="E23" s="27"/>
      <c r="F23" s="30"/>
      <c r="G23" s="30"/>
      <c r="H23" s="15">
        <f t="shared" si="0"/>
      </c>
      <c r="I23" s="27"/>
      <c r="J23" s="27"/>
      <c r="K23" s="8" t="inlineStr">
        <is>
          <t xml:space="preserve">Pendente</t>
        </is>
      </c>
    </row>
    <row r="24" spans="1:11" ht="60" x14ac:dyDescent="0.25">
      <c r="A24" s="2">
        <v>20</v>
      </c>
      <c r="B24" s="29"/>
      <c r="C24" s="27"/>
      <c r="D24" s="27"/>
      <c r="E24" s="27"/>
      <c r="F24" s="30"/>
      <c r="G24" s="30"/>
      <c r="H24" s="15">
        <f t="shared" si="0"/>
      </c>
      <c r="I24" s="27"/>
      <c r="J24" s="27"/>
      <c r="K24" s="8" t="inlineStr">
        <is>
          <t xml:space="preserve">Pendente</t>
        </is>
      </c>
    </row>
    <row r="25" spans="1:11" ht="60" x14ac:dyDescent="0.25">
      <c r="A25" s="2">
        <v>21</v>
      </c>
      <c r="B25" s="29"/>
      <c r="C25" s="27"/>
      <c r="D25" s="27"/>
      <c r="E25" s="27"/>
      <c r="F25" s="30"/>
      <c r="G25" s="30"/>
      <c r="H25" s="15">
        <f t="shared" si="0"/>
      </c>
      <c r="I25" s="27"/>
      <c r="J25" s="27"/>
      <c r="K25" s="8" t="inlineStr">
        <is>
          <t xml:space="preserve">Pendente</t>
        </is>
      </c>
    </row>
    <row r="26" spans="1:11" ht="60" x14ac:dyDescent="0.25">
      <c r="A26" s="2">
        <v>22</v>
      </c>
      <c r="B26" s="29"/>
      <c r="C26" s="27"/>
      <c r="D26" s="27"/>
      <c r="E26" s="27"/>
      <c r="F26" s="30"/>
      <c r="G26" s="30"/>
      <c r="H26" s="15">
        <f t="shared" si="0"/>
      </c>
      <c r="I26" s="27"/>
      <c r="J26" s="27"/>
      <c r="K26" s="8" t="inlineStr">
        <is>
          <t xml:space="preserve">Pendente</t>
        </is>
      </c>
    </row>
    <row r="27" spans="1:11" ht="60" x14ac:dyDescent="0.25">
      <c r="A27" s="2">
        <v>23</v>
      </c>
      <c r="B27" s="29"/>
      <c r="C27" s="27"/>
      <c r="D27" s="27"/>
      <c r="E27" s="27"/>
      <c r="F27" s="30"/>
      <c r="G27" s="30"/>
      <c r="H27" s="15">
        <f t="shared" si="0"/>
      </c>
      <c r="I27" s="27"/>
      <c r="J27" s="27"/>
      <c r="K27" s="8" t="inlineStr">
        <is>
          <t xml:space="preserve">Pendente</t>
        </is>
      </c>
    </row>
    <row r="28" spans="1:11" ht="60" x14ac:dyDescent="0.25">
      <c r="A28" s="2">
        <v>24</v>
      </c>
      <c r="B28" s="29"/>
      <c r="C28" s="27"/>
      <c r="D28" s="27"/>
      <c r="E28" s="27"/>
      <c r="F28" s="30"/>
      <c r="G28" s="30"/>
      <c r="H28" s="15">
        <f t="shared" si="0"/>
      </c>
      <c r="I28" s="27"/>
      <c r="J28" s="27"/>
      <c r="K28" s="8" t="inlineStr">
        <is>
          <t xml:space="preserve">Pendente</t>
        </is>
      </c>
    </row>
    <row r="29" spans="1:11" ht="60" x14ac:dyDescent="0.25">
      <c r="A29" s="2">
        <v>25</v>
      </c>
      <c r="B29" s="29"/>
      <c r="C29" s="27"/>
      <c r="D29" s="27"/>
      <c r="E29" s="27"/>
      <c r="F29" s="30"/>
      <c r="G29" s="30"/>
      <c r="H29" s="15">
        <f t="shared" si="0"/>
      </c>
      <c r="I29" s="27"/>
      <c r="J29" s="27"/>
      <c r="K29" s="8" t="inlineStr">
        <is>
          <t xml:space="preserve">Pendente</t>
        </is>
      </c>
    </row>
    <row r="30" spans="1:11" ht="60" x14ac:dyDescent="0.25">
      <c r="A30" s="2">
        <v>26</v>
      </c>
      <c r="B30" s="29"/>
      <c r="C30" s="27"/>
      <c r="D30" s="27"/>
      <c r="E30" s="27"/>
      <c r="F30" s="30"/>
      <c r="G30" s="30"/>
      <c r="H30" s="15">
        <f t="shared" si="0"/>
      </c>
      <c r="I30" s="27"/>
      <c r="J30" s="27"/>
      <c r="K30" s="8" t="inlineStr">
        <is>
          <t xml:space="preserve">Pendente</t>
        </is>
      </c>
    </row>
    <row r="31" spans="1:11" ht="60" x14ac:dyDescent="0.25">
      <c r="A31" s="2">
        <v>27</v>
      </c>
      <c r="B31" s="29"/>
      <c r="C31" s="27"/>
      <c r="D31" s="27"/>
      <c r="E31" s="27"/>
      <c r="F31" s="30"/>
      <c r="G31" s="30"/>
      <c r="H31" s="15">
        <f t="shared" si="0"/>
      </c>
      <c r="I31" s="27"/>
      <c r="J31" s="27"/>
      <c r="K31" s="8" t="inlineStr">
        <is>
          <t xml:space="preserve">Pendente</t>
        </is>
      </c>
    </row>
    <row r="32" spans="1:11" ht="60" x14ac:dyDescent="0.25">
      <c r="A32" s="2">
        <v>28</v>
      </c>
      <c r="B32" s="29"/>
      <c r="C32" s="27"/>
      <c r="D32" s="27"/>
      <c r="E32" s="27"/>
      <c r="F32" s="30"/>
      <c r="G32" s="30"/>
      <c r="H32" s="15">
        <f t="shared" si="0"/>
      </c>
      <c r="I32" s="27"/>
      <c r="J32" s="27"/>
      <c r="K32" s="8" t="inlineStr">
        <is>
          <t xml:space="preserve">Pendente</t>
        </is>
      </c>
    </row>
    <row r="33" spans="1:11" x14ac:dyDescent="0.25">
      <c r="A33" s="2">
        <v>29</v>
      </c>
      <c r="B33" s="10"/>
      <c r="C33" s="8"/>
      <c r="D33" s="8"/>
      <c r="E33" s="8"/>
      <c r="F33" s="14"/>
      <c r="G33" s="14"/>
      <c r="H33" s="15">
        <f t="shared" si="0"/>
      </c>
      <c r="I33" s="8"/>
      <c r="J33" s="8"/>
      <c r="K33" s="8" t="inlineStr">
        <is>
          <t xml:space="preserve">Pendente</t>
        </is>
      </c>
    </row>
    <row r="34" spans="1:11" x14ac:dyDescent="0.25">
      <c r="A34" s="2">
        <v>30</v>
      </c>
      <c r="B34" s="10"/>
      <c r="C34" s="8"/>
      <c r="D34" s="8"/>
      <c r="E34" s="8"/>
      <c r="F34" s="14"/>
      <c r="G34" s="14"/>
      <c r="H34" s="15">
        <f t="shared" si="0"/>
      </c>
      <c r="I34" s="8"/>
      <c r="J34" s="8"/>
      <c r="K34" s="8" t="inlineStr">
        <is>
          <t xml:space="preserve">Pendente</t>
        </is>
      </c>
    </row>
    <row r="35" spans="1:11" x14ac:dyDescent="0.25">
      <c r="A35" s="2">
        <v>31</v>
      </c>
      <c r="B35" s="10"/>
      <c r="C35" s="8"/>
      <c r="D35" s="8"/>
      <c r="E35" s="8"/>
      <c r="F35" s="14"/>
      <c r="G35" s="14"/>
      <c r="H35" s="15">
        <f t="shared" si="0"/>
      </c>
      <c r="I35" s="8"/>
      <c r="J35" s="8"/>
      <c r="K35" s="8" t="inlineStr">
        <is>
          <t xml:space="preserve">Pendente</t>
        </is>
      </c>
    </row>
    <row r="36" spans="1:11" x14ac:dyDescent="0.25">
      <c r="A36" s="2">
        <v>32</v>
      </c>
      <c r="B36" s="10"/>
      <c r="C36" s="8"/>
      <c r="D36" s="8"/>
      <c r="E36" s="8"/>
      <c r="F36" s="14"/>
      <c r="G36" s="14"/>
      <c r="H36" s="15">
        <f t="shared" si="0"/>
      </c>
      <c r="I36" s="8"/>
      <c r="J36" s="8"/>
      <c r="K36" s="8" t="inlineStr">
        <is>
          <t xml:space="preserve">Pendente</t>
        </is>
      </c>
    </row>
    <row r="37" spans="1:11" x14ac:dyDescent="0.25">
      <c r="A37" s="2">
        <v>33</v>
      </c>
      <c r="B37" s="10"/>
      <c r="C37" s="8"/>
      <c r="D37" s="8"/>
      <c r="E37" s="8"/>
      <c r="F37" s="14"/>
      <c r="G37" s="14"/>
      <c r="H37" s="15">
        <f t="shared" ref="H37:H63" si="1">SUM(F37:G37)</f>
      </c>
      <c r="I37" s="8"/>
      <c r="J37" s="8"/>
      <c r="K37" s="8" t="inlineStr">
        <is>
          <t xml:space="preserve">Pendente</t>
        </is>
      </c>
    </row>
    <row r="38" spans="1:11" x14ac:dyDescent="0.25">
      <c r="A38" s="2">
        <v>34</v>
      </c>
      <c r="B38" s="10"/>
      <c r="C38" s="8"/>
      <c r="D38" s="8"/>
      <c r="E38" s="8"/>
      <c r="F38" s="14"/>
      <c r="G38" s="14"/>
      <c r="H38" s="15">
        <f t="shared" si="1"/>
      </c>
      <c r="I38" s="8"/>
      <c r="J38" s="8"/>
      <c r="K38" s="8" t="inlineStr">
        <is>
          <t xml:space="preserve">Pendente</t>
        </is>
      </c>
    </row>
    <row r="39" spans="1:11" x14ac:dyDescent="0.25">
      <c r="A39" s="2">
        <v>35</v>
      </c>
      <c r="B39" s="10"/>
      <c r="C39" s="8"/>
      <c r="D39" s="8"/>
      <c r="E39" s="8"/>
      <c r="F39" s="14"/>
      <c r="G39" s="14"/>
      <c r="H39" s="15">
        <f t="shared" si="1"/>
      </c>
      <c r="I39" s="8"/>
      <c r="J39" s="8"/>
      <c r="K39" s="8" t="inlineStr">
        <is>
          <t xml:space="preserve">Pendente</t>
        </is>
      </c>
    </row>
    <row r="40" spans="1:11" x14ac:dyDescent="0.25">
      <c r="A40" s="2">
        <v>36</v>
      </c>
      <c r="B40" s="10"/>
      <c r="C40" s="8"/>
      <c r="D40" s="8"/>
      <c r="E40" s="8"/>
      <c r="F40" s="14"/>
      <c r="G40" s="14"/>
      <c r="H40" s="15">
        <f t="shared" si="1"/>
      </c>
      <c r="I40" s="8"/>
      <c r="J40" s="8"/>
      <c r="K40" s="8" t="inlineStr">
        <is>
          <t xml:space="preserve">Pendente</t>
        </is>
      </c>
    </row>
    <row r="41" spans="1:11" x14ac:dyDescent="0.25">
      <c r="A41" s="2">
        <v>37</v>
      </c>
      <c r="B41" s="10"/>
      <c r="C41" s="8"/>
      <c r="D41" s="8"/>
      <c r="E41" s="8"/>
      <c r="F41" s="14"/>
      <c r="G41" s="14"/>
      <c r="H41" s="15">
        <f t="shared" si="1"/>
      </c>
      <c r="I41" s="8"/>
      <c r="J41" s="8"/>
      <c r="K41" s="8" t="inlineStr">
        <is>
          <t xml:space="preserve">Pendente</t>
        </is>
      </c>
    </row>
    <row r="42" spans="1:11" x14ac:dyDescent="0.25">
      <c r="A42" s="2">
        <v>38</v>
      </c>
      <c r="B42" s="10"/>
      <c r="C42" s="8"/>
      <c r="D42" s="8"/>
      <c r="E42" s="8"/>
      <c r="F42" s="14"/>
      <c r="G42" s="14"/>
      <c r="H42" s="15">
        <f t="shared" si="1"/>
      </c>
      <c r="I42" s="8"/>
      <c r="J42" s="8"/>
      <c r="K42" s="8" t="inlineStr">
        <is>
          <t xml:space="preserve">Pendente</t>
        </is>
      </c>
    </row>
    <row r="43" spans="1:11" x14ac:dyDescent="0.25">
      <c r="A43" s="2">
        <v>39</v>
      </c>
      <c r="B43" s="10"/>
      <c r="C43" s="8"/>
      <c r="D43" s="8"/>
      <c r="E43" s="8"/>
      <c r="F43" s="14"/>
      <c r="G43" s="14"/>
      <c r="H43" s="15">
        <f t="shared" si="1"/>
      </c>
      <c r="I43" s="8"/>
      <c r="J43" s="8"/>
      <c r="K43" s="8" t="inlineStr">
        <is>
          <t xml:space="preserve">Pendente</t>
        </is>
      </c>
    </row>
    <row r="44" spans="1:11" x14ac:dyDescent="0.25">
      <c r="A44" s="2">
        <v>40</v>
      </c>
      <c r="B44" s="10"/>
      <c r="C44" s="8"/>
      <c r="D44" s="8"/>
      <c r="E44" s="8"/>
      <c r="F44" s="14"/>
      <c r="G44" s="14"/>
      <c r="H44" s="15">
        <f t="shared" si="1"/>
      </c>
      <c r="I44" s="8"/>
      <c r="J44" s="8"/>
      <c r="K44" s="8" t="inlineStr">
        <is>
          <t xml:space="preserve">Pendente</t>
        </is>
      </c>
    </row>
    <row r="45" spans="1:11" x14ac:dyDescent="0.25">
      <c r="A45" s="2">
        <v>41</v>
      </c>
      <c r="B45" s="10"/>
      <c r="C45" s="8"/>
      <c r="D45" s="8"/>
      <c r="E45" s="8"/>
      <c r="F45" s="14"/>
      <c r="G45" s="14"/>
      <c r="H45" s="15">
        <f t="shared" si="1"/>
      </c>
      <c r="I45" s="8"/>
      <c r="J45" s="8"/>
      <c r="K45" s="8" t="inlineStr">
        <is>
          <t xml:space="preserve">Pendente</t>
        </is>
      </c>
    </row>
    <row r="46" spans="1:11" x14ac:dyDescent="0.25">
      <c r="A46" s="2">
        <v>42</v>
      </c>
      <c r="B46" s="10"/>
      <c r="C46" s="8"/>
      <c r="D46" s="8"/>
      <c r="E46" s="8"/>
      <c r="F46" s="14"/>
      <c r="G46" s="14"/>
      <c r="H46" s="15">
        <f t="shared" si="1"/>
      </c>
      <c r="I46" s="8"/>
      <c r="J46" s="8"/>
      <c r="K46" s="8" t="inlineStr">
        <is>
          <t xml:space="preserve">Pendente</t>
        </is>
      </c>
    </row>
    <row r="47" spans="1:11" x14ac:dyDescent="0.25">
      <c r="A47" s="2">
        <v>43</v>
      </c>
      <c r="B47" s="10"/>
      <c r="C47" s="8"/>
      <c r="D47" s="8"/>
      <c r="E47" s="8"/>
      <c r="F47" s="14"/>
      <c r="G47" s="14"/>
      <c r="H47" s="15">
        <f t="shared" si="1"/>
      </c>
      <c r="I47" s="8"/>
      <c r="J47" s="8"/>
      <c r="K47" s="8" t="inlineStr">
        <is>
          <t xml:space="preserve">Pendente</t>
        </is>
      </c>
    </row>
    <row r="48" spans="1:11" x14ac:dyDescent="0.25">
      <c r="A48" s="2">
        <v>44</v>
      </c>
      <c r="B48" s="10"/>
      <c r="C48" s="8"/>
      <c r="D48" s="8"/>
      <c r="E48" s="8"/>
      <c r="F48" s="14"/>
      <c r="G48" s="14"/>
      <c r="H48" s="15">
        <f t="shared" si="1"/>
      </c>
      <c r="I48" s="8"/>
      <c r="J48" s="8"/>
      <c r="K48" s="8" t="inlineStr">
        <is>
          <t xml:space="preserve">Pendente</t>
        </is>
      </c>
    </row>
    <row r="49" spans="1:11" x14ac:dyDescent="0.25">
      <c r="A49" s="2">
        <v>45</v>
      </c>
      <c r="B49" s="10"/>
      <c r="C49" s="8"/>
      <c r="D49" s="8"/>
      <c r="E49" s="8"/>
      <c r="F49" s="14"/>
      <c r="G49" s="14"/>
      <c r="H49" s="15">
        <f t="shared" si="1"/>
      </c>
      <c r="I49" s="8"/>
      <c r="J49" s="8"/>
      <c r="K49" s="8" t="inlineStr">
        <is>
          <t xml:space="preserve">Pendente</t>
        </is>
      </c>
    </row>
    <row r="50" spans="1:11" x14ac:dyDescent="0.25">
      <c r="A50" s="2">
        <v>46</v>
      </c>
      <c r="B50" s="10"/>
      <c r="C50" s="8"/>
      <c r="D50" s="8"/>
      <c r="E50" s="8"/>
      <c r="F50" s="14"/>
      <c r="G50" s="14"/>
      <c r="H50" s="15">
        <f t="shared" si="1"/>
      </c>
      <c r="I50" s="8"/>
      <c r="J50" s="8"/>
      <c r="K50" s="8" t="inlineStr">
        <is>
          <t xml:space="preserve">Pendente</t>
        </is>
      </c>
    </row>
    <row r="51" spans="1:11" x14ac:dyDescent="0.25">
      <c r="A51" s="2">
        <v>47</v>
      </c>
      <c r="B51" s="10"/>
      <c r="C51" s="8"/>
      <c r="D51" s="8"/>
      <c r="E51" s="8"/>
      <c r="F51" s="14"/>
      <c r="G51" s="14"/>
      <c r="H51" s="15">
        <f t="shared" si="1"/>
      </c>
      <c r="I51" s="8"/>
      <c r="J51" s="8"/>
      <c r="K51" s="8" t="inlineStr">
        <is>
          <t xml:space="preserve">Pendente</t>
        </is>
      </c>
    </row>
    <row r="52" spans="1:11" x14ac:dyDescent="0.25">
      <c r="A52" s="2">
        <v>48</v>
      </c>
      <c r="B52" s="10"/>
      <c r="C52" s="8"/>
      <c r="D52" s="8"/>
      <c r="E52" s="8"/>
      <c r="F52" s="14"/>
      <c r="G52" s="14"/>
      <c r="H52" s="15">
        <f t="shared" si="1"/>
      </c>
      <c r="I52" s="8"/>
      <c r="J52" s="8"/>
      <c r="K52" s="8" t="inlineStr">
        <is>
          <t xml:space="preserve">Pendente</t>
        </is>
      </c>
    </row>
    <row r="53" spans="1:11" x14ac:dyDescent="0.25">
      <c r="A53" s="2">
        <v>49</v>
      </c>
      <c r="B53" s="10"/>
      <c r="C53" s="8"/>
      <c r="D53" s="8"/>
      <c r="E53" s="8"/>
      <c r="F53" s="14"/>
      <c r="G53" s="14"/>
      <c r="H53" s="15">
        <f t="shared" si="1"/>
      </c>
      <c r="I53" s="8"/>
      <c r="J53" s="8"/>
      <c r="K53" s="8" t="inlineStr">
        <is>
          <t xml:space="preserve">Pendente</t>
        </is>
      </c>
    </row>
    <row r="54" spans="1:11" x14ac:dyDescent="0.25">
      <c r="A54" s="2">
        <v>50</v>
      </c>
      <c r="B54" s="10"/>
      <c r="C54" s="8"/>
      <c r="D54" s="8"/>
      <c r="E54" s="8"/>
      <c r="F54" s="14"/>
      <c r="G54" s="14"/>
      <c r="H54" s="15">
        <f t="shared" si="1"/>
      </c>
      <c r="I54" s="8"/>
      <c r="J54" s="8"/>
      <c r="K54" s="8" t="inlineStr">
        <is>
          <t xml:space="preserve">Pendente</t>
        </is>
      </c>
    </row>
    <row r="55" spans="1:11" x14ac:dyDescent="0.25">
      <c r="A55" s="2">
        <v>51</v>
      </c>
      <c r="B55" s="10"/>
      <c r="C55" s="8"/>
      <c r="D55" s="8"/>
      <c r="E55" s="8"/>
      <c r="F55" s="14"/>
      <c r="G55" s="14"/>
      <c r="H55" s="15">
        <f t="shared" si="1"/>
      </c>
      <c r="I55" s="8"/>
      <c r="J55" s="8"/>
      <c r="K55" s="8" t="inlineStr">
        <is>
          <t xml:space="preserve">Pendente</t>
        </is>
      </c>
    </row>
    <row r="56" spans="1:11" x14ac:dyDescent="0.25">
      <c r="A56" s="2">
        <v>52</v>
      </c>
      <c r="B56" s="10"/>
      <c r="C56" s="8"/>
      <c r="D56" s="8"/>
      <c r="E56" s="8"/>
      <c r="F56" s="14"/>
      <c r="G56" s="14"/>
      <c r="H56" s="15">
        <f t="shared" si="1"/>
      </c>
      <c r="I56" s="8"/>
      <c r="J56" s="8"/>
      <c r="K56" s="8" t="inlineStr">
        <is>
          <t xml:space="preserve">Pendente</t>
        </is>
      </c>
    </row>
    <row r="57" spans="1:11" x14ac:dyDescent="0.25">
      <c r="A57" s="2">
        <v>53</v>
      </c>
      <c r="B57" s="10"/>
      <c r="C57" s="8"/>
      <c r="D57" s="8"/>
      <c r="E57" s="8"/>
      <c r="F57" s="14"/>
      <c r="G57" s="14"/>
      <c r="H57" s="15">
        <f t="shared" si="1"/>
      </c>
      <c r="I57" s="8"/>
      <c r="J57" s="8"/>
      <c r="K57" s="8" t="inlineStr">
        <is>
          <t xml:space="preserve">Pendente</t>
        </is>
      </c>
    </row>
    <row r="58" spans="1:11" x14ac:dyDescent="0.25">
      <c r="A58" s="2">
        <v>54</v>
      </c>
      <c r="B58" s="10"/>
      <c r="C58" s="8"/>
      <c r="D58" s="8"/>
      <c r="E58" s="8"/>
      <c r="F58" s="14"/>
      <c r="G58" s="14"/>
      <c r="H58" s="15">
        <f t="shared" si="1"/>
      </c>
      <c r="I58" s="8"/>
      <c r="J58" s="8"/>
      <c r="K58" s="8" t="inlineStr">
        <is>
          <t xml:space="preserve">Pendente</t>
        </is>
      </c>
    </row>
    <row r="59" spans="1:11" x14ac:dyDescent="0.25">
      <c r="A59" s="2">
        <v>55</v>
      </c>
      <c r="B59" s="10"/>
      <c r="C59" s="8"/>
      <c r="D59" s="8"/>
      <c r="E59" s="8"/>
      <c r="F59" s="14"/>
      <c r="G59" s="14"/>
      <c r="H59" s="15">
        <f t="shared" si="1"/>
      </c>
      <c r="I59" s="8"/>
      <c r="J59" s="8"/>
      <c r="K59" s="8" t="inlineStr">
        <is>
          <t xml:space="preserve">Pendente</t>
        </is>
      </c>
    </row>
    <row r="60" spans="1:11" x14ac:dyDescent="0.25">
      <c r="A60" s="2">
        <v>56</v>
      </c>
      <c r="B60" s="10"/>
      <c r="C60" s="8"/>
      <c r="D60" s="8"/>
      <c r="E60" s="8"/>
      <c r="F60" s="14"/>
      <c r="G60" s="14"/>
      <c r="H60" s="15">
        <f t="shared" si="1"/>
      </c>
      <c r="I60" s="8"/>
      <c r="J60" s="8"/>
      <c r="K60" s="8" t="inlineStr">
        <is>
          <t xml:space="preserve">Pendente</t>
        </is>
      </c>
    </row>
    <row r="61" spans="1:11" x14ac:dyDescent="0.25">
      <c r="A61" s="2">
        <v>57</v>
      </c>
      <c r="B61" s="10"/>
      <c r="C61" s="8"/>
      <c r="D61" s="8"/>
      <c r="E61" s="8"/>
      <c r="F61" s="14"/>
      <c r="G61" s="14"/>
      <c r="H61" s="15">
        <f t="shared" si="1"/>
      </c>
      <c r="I61" s="8"/>
      <c r="J61" s="8"/>
      <c r="K61" s="8" t="inlineStr">
        <is>
          <t xml:space="preserve">Pendente</t>
        </is>
      </c>
    </row>
    <row r="62" spans="1:11" x14ac:dyDescent="0.25">
      <c r="A62" s="2">
        <v>58</v>
      </c>
      <c r="B62" s="10"/>
      <c r="C62" s="8"/>
      <c r="D62" s="8"/>
      <c r="E62" s="8"/>
      <c r="F62" s="14"/>
      <c r="G62" s="14"/>
      <c r="H62" s="15">
        <f t="shared" si="1"/>
      </c>
      <c r="I62" s="8"/>
      <c r="J62" s="8"/>
      <c r="K62" s="8" t="inlineStr">
        <is>
          <t xml:space="preserve">Pendente</t>
        </is>
      </c>
    </row>
    <row r="63" spans="1:11" x14ac:dyDescent="0.25">
      <c r="A63" s="2">
        <v>59</v>
      </c>
      <c r="B63" s="10"/>
      <c r="C63" s="8"/>
      <c r="D63" s="8"/>
      <c r="E63" s="8"/>
      <c r="F63" s="14"/>
      <c r="G63" s="14"/>
      <c r="H63" s="15">
        <f t="shared" si="1"/>
      </c>
      <c r="I63" s="8"/>
      <c r="J63" s="8"/>
      <c r="K63" s="8" t="inlineStr">
        <is>
          <t xml:space="preserve">Pendente</t>
        </is>
      </c>
    </row>
    <row r="66" spans="1:11" ht="21.75" customHeight="1" x14ac:dyDescent="0.25">
      <c r="A66" s="38" t="s">
        <v>258</v>
      </c>
      <c r="B66" s="36"/>
      <c r="C66" s="36"/>
      <c r="D66" s="36"/>
      <c r="E66" s="36"/>
      <c r="F66" s="36"/>
      <c r="G66" s="36"/>
      <c r="H66" s="36"/>
      <c r="I66" s="36"/>
      <c r="J66" s="36"/>
      <c r="K66" s="36"/>
    </row>
    <row r="67" spans="1:11" ht="30" customHeight="1" x14ac:dyDescent="0.25">
      <c r="A67" s="2" t="s">
        <v>259</v>
      </c>
      <c r="B67" s="15">
        <f>SUM(F5:F63)</f>
      </c>
    </row>
    <row r="68" spans="1:11" ht="30" customHeight="1" x14ac:dyDescent="0.25">
      <c r="A68" s="2" t="s">
        <v>260</v>
      </c>
      <c r="B68" s="15">
        <f>SUM(G5:G63)</f>
      </c>
    </row>
    <row r="69" spans="1:11" ht="30" customHeight="1" x14ac:dyDescent="0.25">
      <c r="A69" s="2" t="s">
        <v>261</v>
      </c>
      <c r="B69" s="15">
        <f>SUM(H5:H63)</f>
      </c>
    </row>
    <row r="70" spans="1:11" ht="30" customHeight="1" x14ac:dyDescent="0.25">
      <c r="A70" s="2" t="s">
        <v>262</v>
      </c>
      <c r="B70" s="2">
        <v>60</v>
      </c>
    </row>
    <row r="71" spans="1:11" ht="30" customHeight="1" x14ac:dyDescent="0.25">
      <c r="A71" s="2" t="s">
        <v>263</v>
      </c>
      <c r="B71" s="9">
        <f>IFERROR(B69/B70,0)</f>
      </c>
    </row>
  </sheetData>
  <mergeCells count="3">
    <mergeCell ref="A2:K2"/>
    <mergeCell ref="A1:K1"/>
    <mergeCell ref="A66:K66"/>
  </mergeCells>
  <dataValidations count="3">
    <dataValidation type="list" sqref="C5:C63" xr:uid="{00000000-0002-0000-0B00-000000000000}">
      <formula1>"Pré,1,2,3,4,5,6,7,8,9,10,11,12,13,14,15,16,17,18,19,20"</formula1>
      <formula2>0</formula2>
    </dataValidation>
    <dataValidation type="list" sqref="E5:E63" xr:uid="{00000000-0002-0000-0B00-000001000000}">
      <formula1>"E1,E2,E3,E4,E5,E6"</formula1>
      <formula2>0</formula2>
    </dataValidation>
    <dataValidation type="list" sqref="K5:K63" xr:uid="{00000000-0002-0000-0B00-000002000000}">
      <formula1>"Pendente,Validada,Revisar"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3"/>
  <sheetViews>
    <sheetView zoomScaleNormal="100" workbookViewId="0">
      <selection activeCell="D13" sqref="D13:D14"/>
    </sheetView>
  </sheetViews>
  <sheetFormatPr defaultColWidth="8.7109375" defaultRowHeight="15" x14ac:dyDescent="0.25"/>
  <cols>
    <col min="1" max="1" width="10" customWidth="1"/>
    <col min="2" max="2" width="14" customWidth="1"/>
    <col min="3" max="3" width="22" customWidth="1"/>
    <col min="4" max="4" width="44" customWidth="1"/>
    <col min="5" max="7" width="14" customWidth="1"/>
    <col min="8" max="8" width="16" customWidth="1"/>
    <col min="9" max="9" width="14" customWidth="1"/>
    <col min="10" max="10" width="20" customWidth="1"/>
    <col min="11" max="11" width="14" customWidth="1"/>
    <col min="12" max="12" width="34" customWidth="1"/>
  </cols>
  <sheetData>
    <row r="1" spans="1:12" ht="30" customHeight="1" x14ac:dyDescent="0.25">
      <c r="A1" s="37" t="s">
        <v>264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21.75" customHeight="1" x14ac:dyDescent="0.25">
      <c r="A2" s="35" t="s">
        <v>265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2" ht="27.75" customHeight="1" x14ac:dyDescent="0.25">
      <c r="A4" s="3" t="s">
        <v>140</v>
      </c>
      <c r="B4" s="3" t="s">
        <v>250</v>
      </c>
      <c r="C4" s="3" t="s">
        <v>266</v>
      </c>
      <c r="D4" s="3" t="s">
        <v>267</v>
      </c>
      <c r="E4" s="3" t="s">
        <v>268</v>
      </c>
      <c r="F4" s="3" t="s">
        <v>269</v>
      </c>
      <c r="G4" s="3" t="s">
        <v>270</v>
      </c>
      <c r="H4" s="3" t="s">
        <v>271</v>
      </c>
      <c r="I4" s="3" t="s">
        <v>272</v>
      </c>
      <c r="J4" s="3" t="s">
        <v>273</v>
      </c>
      <c r="K4" s="3" t="s">
        <v>274</v>
      </c>
      <c r="L4" s="3" t="s">
        <v>131</v>
      </c>
    </row>
    <row r="5" spans="1:12" ht="45" x14ac:dyDescent="0.25">
      <c r="A5" s="2"/>
      <c r="B5" s="29"/>
      <c r="C5" s="27"/>
      <c r="D5" s="27"/>
      <c r="E5" s="27"/>
      <c r="F5" s="27"/>
      <c r="G5" s="27"/>
      <c r="H5" s="27"/>
      <c r="I5" s="27"/>
      <c r="J5" s="27"/>
      <c r="K5" s="29"/>
      <c r="L5" s="27"/>
    </row>
    <row r="6" spans="1:12" ht="45" x14ac:dyDescent="0.25">
      <c r="A6" s="2"/>
      <c r="B6" s="29"/>
      <c r="C6" s="27"/>
      <c r="D6" s="27"/>
      <c r="E6" s="27"/>
      <c r="F6" s="27"/>
      <c r="G6" s="27"/>
      <c r="H6" s="27"/>
      <c r="I6" s="27"/>
      <c r="J6" s="27"/>
      <c r="K6" s="29"/>
      <c r="L6" s="27"/>
    </row>
    <row r="7" spans="1:12" ht="45" x14ac:dyDescent="0.25">
      <c r="A7" s="2"/>
      <c r="B7" s="29"/>
      <c r="C7" s="33"/>
      <c r="D7" s="27"/>
      <c r="E7" s="27"/>
      <c r="F7" s="27"/>
      <c r="G7" s="27"/>
      <c r="H7" s="27"/>
      <c r="I7" s="27"/>
      <c r="J7" s="27"/>
      <c r="K7" s="29"/>
      <c r="L7" s="27"/>
    </row>
    <row r="8" spans="1:12" ht="30" x14ac:dyDescent="0.25">
      <c r="A8" s="2"/>
      <c r="B8" s="29"/>
      <c r="C8" s="27"/>
      <c r="D8" s="27"/>
      <c r="E8" s="27"/>
      <c r="F8" s="27"/>
      <c r="G8" s="27"/>
      <c r="H8" s="27"/>
      <c r="I8" s="27"/>
      <c r="J8" s="27"/>
      <c r="K8" s="29"/>
      <c r="L8" s="27"/>
    </row>
    <row r="9" spans="1:12" ht="45" x14ac:dyDescent="0.25">
      <c r="A9" s="2"/>
      <c r="B9" s="29"/>
      <c r="C9" s="27"/>
      <c r="D9" s="27"/>
      <c r="E9" s="27"/>
      <c r="F9" s="27"/>
      <c r="G9" s="27"/>
      <c r="H9" s="27"/>
      <c r="I9" s="27"/>
      <c r="J9" s="27"/>
      <c r="K9" s="29"/>
      <c r="L9" s="27"/>
    </row>
    <row r="10" spans="1:12" x14ac:dyDescent="0.25">
      <c r="A10" s="2"/>
      <c r="B10" s="10"/>
      <c r="C10" s="8"/>
      <c r="D10" s="8"/>
      <c r="E10" s="8"/>
      <c r="F10" s="8"/>
      <c r="G10" s="8"/>
      <c r="H10" s="8"/>
      <c r="I10" s="8"/>
      <c r="J10" s="8"/>
      <c r="K10" s="10"/>
      <c r="L10" s="8"/>
    </row>
    <row r="11" spans="1:12" x14ac:dyDescent="0.25">
      <c r="A11" s="2"/>
      <c r="B11" s="10"/>
      <c r="C11" s="8"/>
      <c r="D11" s="8"/>
      <c r="E11" s="8"/>
      <c r="F11" s="8"/>
      <c r="G11" s="8"/>
      <c r="H11" s="8"/>
      <c r="I11" s="8"/>
      <c r="J11" s="8"/>
      <c r="K11" s="10"/>
      <c r="L11" s="8"/>
    </row>
    <row r="12" spans="1:12" x14ac:dyDescent="0.25">
      <c r="A12" s="2"/>
      <c r="B12" s="10"/>
      <c r="C12" s="8"/>
      <c r="D12" s="8"/>
      <c r="E12" s="8"/>
      <c r="F12" s="8"/>
      <c r="G12" s="8"/>
      <c r="H12" s="8"/>
      <c r="I12" s="8"/>
      <c r="J12" s="8"/>
      <c r="K12" s="10"/>
      <c r="L12" s="8"/>
    </row>
    <row r="13" spans="1:12" x14ac:dyDescent="0.25">
      <c r="A13" s="2"/>
      <c r="B13" s="10"/>
      <c r="C13" s="8"/>
      <c r="D13" s="8"/>
      <c r="E13" s="8"/>
      <c r="F13" s="8"/>
      <c r="G13" s="8"/>
      <c r="H13" s="8"/>
      <c r="I13" s="8"/>
      <c r="J13" s="8"/>
      <c r="K13" s="10"/>
      <c r="L13" s="8"/>
    </row>
    <row r="14" spans="1:12" x14ac:dyDescent="0.25">
      <c r="A14" s="2"/>
      <c r="B14" s="10"/>
      <c r="C14" s="8"/>
      <c r="D14" s="8"/>
      <c r="E14" s="8"/>
      <c r="F14" s="8"/>
      <c r="G14" s="8"/>
      <c r="H14" s="8"/>
      <c r="I14" s="8"/>
      <c r="J14" s="8"/>
      <c r="K14" s="10"/>
      <c r="L14" s="8"/>
    </row>
    <row r="15" spans="1:12" x14ac:dyDescent="0.25">
      <c r="A15" s="2"/>
      <c r="B15" s="10"/>
      <c r="C15" s="8"/>
      <c r="D15" s="8"/>
      <c r="E15" s="8"/>
      <c r="F15" s="8"/>
      <c r="G15" s="8"/>
      <c r="H15" s="8"/>
      <c r="I15" s="8"/>
      <c r="J15" s="8"/>
      <c r="K15" s="10"/>
      <c r="L15" s="8"/>
    </row>
    <row r="16" spans="1:12" x14ac:dyDescent="0.25">
      <c r="A16" s="2"/>
      <c r="B16" s="10"/>
      <c r="C16" s="8"/>
      <c r="D16" s="8"/>
      <c r="E16" s="8"/>
      <c r="F16" s="8"/>
      <c r="G16" s="8"/>
      <c r="H16" s="8"/>
      <c r="I16" s="8"/>
      <c r="J16" s="8"/>
      <c r="K16" s="10"/>
      <c r="L16" s="8"/>
    </row>
    <row r="17" spans="1:12" x14ac:dyDescent="0.25">
      <c r="A17" s="2"/>
      <c r="B17" s="10"/>
      <c r="C17" s="8"/>
      <c r="D17" s="8"/>
      <c r="E17" s="8"/>
      <c r="F17" s="8"/>
      <c r="G17" s="8"/>
      <c r="H17" s="8"/>
      <c r="I17" s="8"/>
      <c r="J17" s="8"/>
      <c r="K17" s="10"/>
      <c r="L17" s="8"/>
    </row>
    <row r="18" spans="1:12" x14ac:dyDescent="0.25">
      <c r="A18" s="2"/>
      <c r="B18" s="10"/>
      <c r="C18" s="8"/>
      <c r="D18" s="8"/>
      <c r="E18" s="8"/>
      <c r="F18" s="8"/>
      <c r="G18" s="8"/>
      <c r="H18" s="8"/>
      <c r="I18" s="8"/>
      <c r="J18" s="8"/>
      <c r="K18" s="10"/>
      <c r="L18" s="8"/>
    </row>
    <row r="19" spans="1:12" x14ac:dyDescent="0.25">
      <c r="A19" s="2"/>
      <c r="B19" s="10"/>
      <c r="C19" s="8"/>
      <c r="D19" s="8"/>
      <c r="E19" s="8"/>
      <c r="F19" s="8"/>
      <c r="G19" s="8"/>
      <c r="H19" s="8"/>
      <c r="I19" s="8"/>
      <c r="J19" s="8"/>
      <c r="K19" s="10"/>
      <c r="L19" s="8"/>
    </row>
    <row r="20" spans="1:12" x14ac:dyDescent="0.25">
      <c r="A20" s="2"/>
      <c r="B20" s="10"/>
      <c r="C20" s="8"/>
      <c r="D20" s="8"/>
      <c r="E20" s="8"/>
      <c r="F20" s="8"/>
      <c r="G20" s="8"/>
      <c r="H20" s="8"/>
      <c r="I20" s="8"/>
      <c r="J20" s="8"/>
      <c r="K20" s="10"/>
      <c r="L20" s="8"/>
    </row>
    <row r="21" spans="1:12" x14ac:dyDescent="0.25">
      <c r="A21" s="2"/>
      <c r="B21" s="10"/>
      <c r="C21" s="8"/>
      <c r="D21" s="8"/>
      <c r="E21" s="8"/>
      <c r="F21" s="8"/>
      <c r="G21" s="8"/>
      <c r="H21" s="8"/>
      <c r="I21" s="8"/>
      <c r="J21" s="8"/>
      <c r="K21" s="10"/>
      <c r="L21" s="8"/>
    </row>
    <row r="22" spans="1:12" x14ac:dyDescent="0.25">
      <c r="A22" s="2"/>
      <c r="B22" s="10"/>
      <c r="C22" s="8"/>
      <c r="D22" s="8"/>
      <c r="E22" s="8"/>
      <c r="F22" s="8"/>
      <c r="G22" s="8"/>
      <c r="H22" s="8"/>
      <c r="I22" s="8"/>
      <c r="J22" s="8"/>
      <c r="K22" s="10"/>
      <c r="L22" s="8"/>
    </row>
    <row r="23" spans="1:12" x14ac:dyDescent="0.25">
      <c r="A23" s="2"/>
      <c r="B23" s="10"/>
      <c r="C23" s="8"/>
      <c r="D23" s="8"/>
      <c r="E23" s="8"/>
      <c r="F23" s="8"/>
      <c r="G23" s="8"/>
      <c r="H23" s="8"/>
      <c r="I23" s="8"/>
      <c r="J23" s="8"/>
      <c r="K23" s="10"/>
      <c r="L23" s="8"/>
    </row>
    <row r="24" spans="1:12" x14ac:dyDescent="0.25">
      <c r="A24" s="2"/>
      <c r="B24" s="10"/>
      <c r="C24" s="8"/>
      <c r="D24" s="8"/>
      <c r="E24" s="8"/>
      <c r="F24" s="8"/>
      <c r="G24" s="8"/>
      <c r="H24" s="8"/>
      <c r="I24" s="8"/>
      <c r="J24" s="8"/>
      <c r="K24" s="10"/>
      <c r="L24" s="8"/>
    </row>
    <row r="25" spans="1:12" x14ac:dyDescent="0.25">
      <c r="A25" s="2"/>
      <c r="B25" s="10"/>
      <c r="C25" s="8"/>
      <c r="D25" s="8"/>
      <c r="E25" s="8"/>
      <c r="F25" s="8"/>
      <c r="G25" s="8"/>
      <c r="H25" s="8"/>
      <c r="I25" s="8"/>
      <c r="J25" s="8"/>
      <c r="K25" s="10"/>
      <c r="L25" s="8"/>
    </row>
    <row r="26" spans="1:12" x14ac:dyDescent="0.25">
      <c r="A26" s="2"/>
      <c r="B26" s="10"/>
      <c r="C26" s="8"/>
      <c r="D26" s="8"/>
      <c r="E26" s="8"/>
      <c r="F26" s="8"/>
      <c r="G26" s="8"/>
      <c r="H26" s="8"/>
      <c r="I26" s="8"/>
      <c r="J26" s="8"/>
      <c r="K26" s="10"/>
      <c r="L26" s="8"/>
    </row>
    <row r="27" spans="1:12" x14ac:dyDescent="0.25">
      <c r="A27" s="2"/>
      <c r="B27" s="10"/>
      <c r="C27" s="8"/>
      <c r="D27" s="8"/>
      <c r="E27" s="8"/>
      <c r="F27" s="8"/>
      <c r="G27" s="8"/>
      <c r="H27" s="8"/>
      <c r="I27" s="8"/>
      <c r="J27" s="8"/>
      <c r="K27" s="10"/>
      <c r="L27" s="8"/>
    </row>
    <row r="28" spans="1:12" x14ac:dyDescent="0.25">
      <c r="A28" s="2"/>
      <c r="B28" s="10"/>
      <c r="C28" s="8"/>
      <c r="D28" s="8"/>
      <c r="E28" s="8"/>
      <c r="F28" s="8"/>
      <c r="G28" s="8"/>
      <c r="H28" s="8"/>
      <c r="I28" s="8"/>
      <c r="J28" s="8"/>
      <c r="K28" s="10"/>
      <c r="L28" s="8"/>
    </row>
    <row r="29" spans="1:12" x14ac:dyDescent="0.25">
      <c r="A29" s="2"/>
      <c r="B29" s="10"/>
      <c r="C29" s="8"/>
      <c r="D29" s="8"/>
      <c r="E29" s="8"/>
      <c r="F29" s="8"/>
      <c r="G29" s="8"/>
      <c r="H29" s="8"/>
      <c r="I29" s="8"/>
      <c r="J29" s="8"/>
      <c r="K29" s="10"/>
      <c r="L29" s="8"/>
    </row>
    <row r="30" spans="1:12" x14ac:dyDescent="0.25">
      <c r="A30" s="2"/>
      <c r="B30" s="10"/>
      <c r="C30" s="8"/>
      <c r="D30" s="8"/>
      <c r="E30" s="8"/>
      <c r="F30" s="8"/>
      <c r="G30" s="8"/>
      <c r="H30" s="8"/>
      <c r="I30" s="8"/>
      <c r="J30" s="8"/>
      <c r="K30" s="10"/>
      <c r="L30" s="8"/>
    </row>
    <row r="31" spans="1:12" x14ac:dyDescent="0.25">
      <c r="A31" s="2"/>
      <c r="B31" s="10"/>
      <c r="C31" s="8"/>
      <c r="D31" s="8"/>
      <c r="E31" s="8"/>
      <c r="F31" s="8"/>
      <c r="G31" s="8"/>
      <c r="H31" s="8"/>
      <c r="I31" s="8"/>
      <c r="J31" s="8"/>
      <c r="K31" s="10"/>
      <c r="L31" s="8"/>
    </row>
    <row r="32" spans="1:12" x14ac:dyDescent="0.25">
      <c r="A32" s="2"/>
      <c r="B32" s="10"/>
      <c r="C32" s="8"/>
      <c r="D32" s="8"/>
      <c r="E32" s="8"/>
      <c r="F32" s="8"/>
      <c r="G32" s="8"/>
      <c r="H32" s="8"/>
      <c r="I32" s="8"/>
      <c r="J32" s="8"/>
      <c r="K32" s="10"/>
      <c r="L32" s="8"/>
    </row>
    <row r="33" spans="1:12" x14ac:dyDescent="0.25">
      <c r="A33" s="2"/>
      <c r="B33" s="10"/>
      <c r="C33" s="8"/>
      <c r="D33" s="8"/>
      <c r="E33" s="8"/>
      <c r="F33" s="8"/>
      <c r="G33" s="8"/>
      <c r="H33" s="8"/>
      <c r="I33" s="8"/>
      <c r="J33" s="8"/>
      <c r="K33" s="10"/>
      <c r="L33" s="8"/>
    </row>
  </sheetData>
  <mergeCells count="2">
    <mergeCell ref="A2:L2"/>
    <mergeCell ref="A1:L1"/>
  </mergeCells>
  <dataValidations count="2">
    <dataValidation type="list" sqref="E5:H33" xr:uid="{00000000-0002-0000-0C00-000000000000}">
      <formula1>"Baixo,Médio,Alto,Crítico"</formula1>
      <formula2>0</formula2>
    </dataValidation>
    <dataValidation type="list" sqref="I5:I33" xr:uid="{00000000-0002-0000-0C00-000001000000}">
      <formula1>"Aprovada,Rejeitada,Adiada,Em análise"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3"/>
  <sheetViews>
    <sheetView topLeftCell="A2" zoomScaleNormal="100" workbookViewId="0">
      <selection activeCell="H6" sqref="H6"/>
    </sheetView>
  </sheetViews>
  <sheetFormatPr defaultColWidth="8.7109375" defaultRowHeight="15" x14ac:dyDescent="0.25"/>
  <cols>
    <col min="1" max="1" width="10" customWidth="1"/>
    <col min="2" max="2" width="14" customWidth="1"/>
    <col min="3" max="3" width="18" customWidth="1"/>
    <col min="4" max="4" width="40" customWidth="1"/>
    <col min="5" max="6" width="42" customWidth="1"/>
    <col min="7" max="8" width="16" customWidth="1"/>
    <col min="9" max="9" width="20" customWidth="1"/>
    <col min="10" max="11" width="14" customWidth="1"/>
    <col min="12" max="12" width="34" customWidth="1"/>
  </cols>
  <sheetData>
    <row r="1" spans="1:12" ht="30" customHeight="1" x14ac:dyDescent="0.25">
      <c r="A1" s="37" t="s">
        <v>275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21.75" customHeight="1" x14ac:dyDescent="0.25">
      <c r="A2" s="35" t="s">
        <v>276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2" ht="27.75" customHeight="1" x14ac:dyDescent="0.25">
      <c r="A4" s="3" t="s">
        <v>140</v>
      </c>
      <c r="B4" s="3" t="s">
        <v>277</v>
      </c>
      <c r="C4" s="3" t="s">
        <v>278</v>
      </c>
      <c r="D4" s="3" t="s">
        <v>279</v>
      </c>
      <c r="E4" s="3" t="s">
        <v>280</v>
      </c>
      <c r="F4" s="3" t="s">
        <v>281</v>
      </c>
      <c r="G4" s="3" t="s">
        <v>22</v>
      </c>
      <c r="H4" s="3" t="s">
        <v>282</v>
      </c>
      <c r="I4" s="3" t="s">
        <v>130</v>
      </c>
      <c r="J4" s="3" t="s">
        <v>250</v>
      </c>
      <c r="K4" s="3" t="s">
        <v>283</v>
      </c>
      <c r="L4" s="3" t="s">
        <v>131</v>
      </c>
    </row>
    <row r="5" spans="1:12" ht="15" customHeight="1" x14ac:dyDescent="0.25">
      <c r="A5" s="2" t="inlineStr">
        <is>
          <t xml:space="preserve">TC-001</t>
        </is>
      </c>
      <c r="B5" s="8" t="inlineStr">
        <is>
          <t xml:space="preserve">RF-01 — Serviços</t>
        </is>
      </c>
      <c r="C5" s="8" t="inlineStr">
        <is>
          <t xml:space="preserve">Funcional</t>
        </is>
      </c>
      <c r="D5" s="8" t="inlineStr">
        <is>
          <t xml:space="preserve">Abrir a página de serviços</t>
        </is>
      </c>
      <c r="E5" s="8" t="inlineStr">
        <is>
          <t xml:space="preserve">Descrições claras e fotos dos serviços de madeira exibidas</t>
        </is>
      </c>
      <c r="F5" s="8"/>
      <c r="G5" s="2" t="inlineStr">
        <is>
          <t xml:space="preserve">Não executado</t>
        </is>
      </c>
      <c r="H5" s="8"/>
      <c r="I5" s="8"/>
      <c r="J5" s="10"/>
      <c r="K5" s="8"/>
      <c r="L5" s="8"/>
    </row>
    <row r="6" spans="1:12" ht="30" x14ac:dyDescent="0.25">
      <c r="A6" s="2" t="inlineStr">
        <is>
          <t xml:space="preserve">TC-002</t>
        </is>
      </c>
      <c r="B6" s="8" t="inlineStr">
        <is>
          <t xml:space="preserve">RF-02 — Galeria</t>
        </is>
      </c>
      <c r="C6" s="8" t="inlineStr">
        <is>
          <t xml:space="preserve">Usabilidade</t>
        </is>
      </c>
      <c r="D6" s="8" t="inlineStr">
        <is>
          <t xml:space="preserve">Navegar pela galeria 'Antes e Depois' em um celular</t>
        </is>
      </c>
      <c r="E6" s="8" t="inlineStr">
        <is>
          <t xml:space="preserve">Visualização nítida em carrossel/grade</t>
        </is>
      </c>
      <c r="F6" s="8"/>
      <c r="G6" s="2" t="inlineStr">
        <is>
          <t xml:space="preserve">Não executado</t>
        </is>
      </c>
      <c r="H6" s="27"/>
      <c r="I6" s="27"/>
      <c r="J6" s="29"/>
      <c r="K6" s="27"/>
      <c r="L6" s="27"/>
    </row>
    <row r="7" spans="1:12" ht="30" x14ac:dyDescent="0.25">
      <c r="A7" s="2" t="inlineStr">
        <is>
          <t xml:space="preserve">TC-003</t>
        </is>
      </c>
      <c r="B7" s="27" t="inlineStr">
        <is>
          <t xml:space="preserve">RF-03 — WhatsApp</t>
        </is>
      </c>
      <c r="C7" s="27" t="inlineStr">
        <is>
          <t xml:space="preserve">Funcional</t>
        </is>
      </c>
      <c r="D7" s="27" t="inlineStr">
        <is>
          <t xml:space="preserve">Clicar no botão flutuante e no botão de rodapé do WhatsApp</t>
        </is>
      </c>
      <c r="E7" s="27" t="inlineStr">
        <is>
          <t xml:space="preserve">Conversa aberta com mensagem inicial pré-formatada</t>
        </is>
      </c>
      <c r="F7" s="8"/>
      <c r="G7" s="2" t="inlineStr">
        <is>
          <t xml:space="preserve">Não executado</t>
        </is>
      </c>
      <c r="H7" s="27"/>
      <c r="I7" s="27"/>
      <c r="J7" s="29"/>
      <c r="K7" s="27"/>
      <c r="L7" s="27"/>
    </row>
    <row r="8" spans="1:12" ht="30" x14ac:dyDescent="0.25">
      <c r="A8" s="2" t="inlineStr">
        <is>
          <t xml:space="preserve">TC-004</t>
        </is>
      </c>
      <c r="B8" s="27" t="inlineStr">
        <is>
          <t xml:space="preserve">RNF-01 — Desempenho</t>
        </is>
      </c>
      <c r="C8" s="27" t="inlineStr">
        <is>
          <t xml:space="preserve">Desempenho</t>
        </is>
      </c>
      <c r="D8" s="27" t="inlineStr">
        <is>
          <t xml:space="preserve">Medir a página no PageSpeed (mobile)</t>
        </is>
      </c>
      <c r="E8" s="27" t="inlineStr">
        <is>
          <t xml:space="preserve">Pontuação mobile satisfatória e carregamento em menos de 3 s</t>
        </is>
      </c>
      <c r="F8" s="8"/>
      <c r="G8" s="2" t="inlineStr">
        <is>
          <t xml:space="preserve">Não executado</t>
        </is>
      </c>
      <c r="H8" s="27"/>
      <c r="I8" s="27"/>
      <c r="J8" s="29"/>
      <c r="K8" s="27"/>
      <c r="L8" s="27"/>
    </row>
    <row r="9" spans="1:12" ht="45" x14ac:dyDescent="0.25">
      <c r="A9" s="2" t="inlineStr">
        <is>
          <t xml:space="preserve">TC-005</t>
        </is>
      </c>
      <c r="B9" s="27" t="inlineStr">
        <is>
          <t xml:space="preserve">RNF-01 — Compatibilidade</t>
        </is>
      </c>
      <c r="C9" s="27" t="inlineStr">
        <is>
          <t xml:space="preserve">Compatibilidade</t>
        </is>
      </c>
      <c r="D9" s="27" t="inlineStr">
        <is>
          <t xml:space="preserve">Abrir a landing page em diferentes navegadores móveis, incluindo o dispositivo do parceiro</t>
        </is>
      </c>
      <c r="E9" s="27" t="inlineStr">
        <is>
          <t xml:space="preserve">Layout adaptado e exibição correta</t>
        </is>
      </c>
      <c r="F9" s="8"/>
      <c r="G9" s="2" t="inlineStr">
        <is>
          <t xml:space="preserve">Não executado</t>
        </is>
      </c>
      <c r="H9" s="27"/>
      <c r="I9" s="27"/>
      <c r="J9" s="29"/>
      <c r="K9" s="27"/>
      <c r="L9" s="27"/>
    </row>
    <row r="10" spans="1:12" ht="45" x14ac:dyDescent="0.25">
      <c r="A10" s="2"/>
      <c r="B10" s="27"/>
      <c r="C10" s="27"/>
      <c r="D10" s="27"/>
      <c r="E10" s="27"/>
      <c r="F10" s="8"/>
      <c r="G10" s="2"/>
      <c r="H10" s="27"/>
      <c r="I10" s="27"/>
      <c r="J10" s="29"/>
      <c r="K10" s="27"/>
      <c r="L10" s="27"/>
    </row>
    <row r="11" spans="1:12" ht="30" x14ac:dyDescent="0.25">
      <c r="A11" s="2"/>
      <c r="B11" s="27"/>
      <c r="C11" s="27"/>
      <c r="D11" s="27"/>
      <c r="E11" s="27"/>
      <c r="F11" s="8"/>
      <c r="G11" s="2"/>
      <c r="H11" s="27"/>
      <c r="I11" s="27"/>
      <c r="J11" s="29"/>
      <c r="K11" s="27"/>
      <c r="L11" s="27"/>
    </row>
    <row r="12" spans="1:12" ht="30" x14ac:dyDescent="0.25">
      <c r="A12" s="2"/>
      <c r="B12" s="27"/>
      <c r="C12" s="27"/>
      <c r="D12" s="27"/>
      <c r="E12" s="27"/>
      <c r="F12" s="8"/>
      <c r="G12" s="2"/>
      <c r="H12" s="27"/>
      <c r="I12" s="27"/>
      <c r="J12" s="29"/>
      <c r="K12" s="27"/>
      <c r="L12" s="27"/>
    </row>
    <row r="13" spans="1:12" ht="30" x14ac:dyDescent="0.25">
      <c r="A13" s="2"/>
      <c r="B13" s="27"/>
      <c r="C13" s="27"/>
      <c r="D13" s="27"/>
      <c r="E13" s="27"/>
      <c r="F13" s="8"/>
      <c r="G13" s="2"/>
      <c r="H13" s="27"/>
      <c r="I13" s="27"/>
      <c r="J13" s="29"/>
      <c r="K13" s="27"/>
      <c r="L13" s="27"/>
    </row>
    <row r="14" spans="1:12" ht="30" x14ac:dyDescent="0.25">
      <c r="A14" s="2"/>
      <c r="B14" s="27"/>
      <c r="C14" s="27"/>
      <c r="D14" s="27"/>
      <c r="E14" s="27"/>
      <c r="F14" s="8"/>
      <c r="G14" s="2"/>
      <c r="H14" s="27"/>
      <c r="I14" s="27"/>
      <c r="J14" s="29"/>
      <c r="K14" s="27"/>
      <c r="L14" s="27"/>
    </row>
    <row r="15" spans="1:12" x14ac:dyDescent="0.25">
      <c r="A15" s="2"/>
      <c r="B15" s="8"/>
      <c r="C15" s="8"/>
      <c r="D15" s="8"/>
      <c r="E15" s="8"/>
      <c r="F15" s="8"/>
      <c r="G15" s="2"/>
      <c r="H15" s="8"/>
      <c r="I15" s="8"/>
      <c r="J15" s="10"/>
      <c r="K15" s="8"/>
      <c r="L15" s="8"/>
    </row>
    <row r="16" spans="1:12" x14ac:dyDescent="0.25">
      <c r="A16" s="2"/>
      <c r="B16" s="8"/>
      <c r="C16" s="8"/>
      <c r="D16" s="8"/>
      <c r="E16" s="8"/>
      <c r="F16" s="8"/>
      <c r="G16" s="2"/>
      <c r="H16" s="8"/>
      <c r="I16" s="8"/>
      <c r="J16" s="10"/>
      <c r="K16" s="8"/>
      <c r="L16" s="8"/>
    </row>
    <row r="17" spans="1:12" x14ac:dyDescent="0.25">
      <c r="A17" s="2"/>
      <c r="B17" s="8"/>
      <c r="C17" s="8"/>
      <c r="D17" s="8"/>
      <c r="E17" s="8"/>
      <c r="F17" s="8"/>
      <c r="G17" s="2"/>
      <c r="H17" s="8"/>
      <c r="I17" s="8"/>
      <c r="J17" s="10"/>
      <c r="K17" s="8"/>
      <c r="L17" s="8"/>
    </row>
    <row r="18" spans="1:12" x14ac:dyDescent="0.25">
      <c r="A18" s="2"/>
      <c r="B18" s="8"/>
      <c r="C18" s="8"/>
      <c r="D18" s="8"/>
      <c r="E18" s="8"/>
      <c r="F18" s="8"/>
      <c r="G18" s="2"/>
      <c r="H18" s="8"/>
      <c r="I18" s="8"/>
      <c r="J18" s="10"/>
      <c r="K18" s="8"/>
      <c r="L18" s="8"/>
    </row>
    <row r="19" spans="1:12" x14ac:dyDescent="0.25">
      <c r="A19" s="2"/>
      <c r="B19" s="8"/>
      <c r="C19" s="8"/>
      <c r="D19" s="8"/>
      <c r="E19" s="8"/>
      <c r="F19" s="8"/>
      <c r="G19" s="2"/>
      <c r="H19" s="8"/>
      <c r="I19" s="8"/>
      <c r="J19" s="10"/>
      <c r="K19" s="8"/>
      <c r="L19" s="8"/>
    </row>
    <row r="20" spans="1:12" x14ac:dyDescent="0.25">
      <c r="A20" s="2"/>
      <c r="B20" s="8"/>
      <c r="C20" s="8"/>
      <c r="D20" s="8"/>
      <c r="E20" s="8"/>
      <c r="F20" s="8"/>
      <c r="G20" s="2"/>
      <c r="H20" s="8"/>
      <c r="I20" s="8"/>
      <c r="J20" s="10"/>
      <c r="K20" s="8"/>
      <c r="L20" s="8"/>
    </row>
    <row r="21" spans="1:12" x14ac:dyDescent="0.25">
      <c r="A21" s="2"/>
      <c r="B21" s="8"/>
      <c r="C21" s="8"/>
      <c r="D21" s="8"/>
      <c r="E21" s="8"/>
      <c r="F21" s="8"/>
      <c r="G21" s="2"/>
      <c r="H21" s="8"/>
      <c r="I21" s="8"/>
      <c r="J21" s="10"/>
      <c r="K21" s="8"/>
      <c r="L21" s="8"/>
    </row>
    <row r="22" spans="1:12" x14ac:dyDescent="0.25">
      <c r="A22" s="2"/>
      <c r="B22" s="8"/>
      <c r="C22" s="8"/>
      <c r="D22" s="8"/>
      <c r="E22" s="8"/>
      <c r="F22" s="8"/>
      <c r="G22" s="2"/>
      <c r="H22" s="8"/>
      <c r="I22" s="8"/>
      <c r="J22" s="10"/>
      <c r="K22" s="8"/>
      <c r="L22" s="8"/>
    </row>
    <row r="23" spans="1:12" x14ac:dyDescent="0.25">
      <c r="A23" s="2"/>
      <c r="B23" s="8"/>
      <c r="C23" s="8"/>
      <c r="D23" s="8"/>
      <c r="E23" s="8"/>
      <c r="F23" s="8"/>
      <c r="G23" s="2"/>
      <c r="H23" s="8"/>
      <c r="I23" s="8"/>
      <c r="J23" s="10"/>
      <c r="K23" s="8"/>
      <c r="L23" s="8"/>
    </row>
    <row r="24" spans="1:12" x14ac:dyDescent="0.25">
      <c r="A24" s="2"/>
      <c r="B24" s="8"/>
      <c r="C24" s="8"/>
      <c r="D24" s="8"/>
      <c r="E24" s="8"/>
      <c r="F24" s="8"/>
      <c r="G24" s="2"/>
      <c r="H24" s="8"/>
      <c r="I24" s="8"/>
      <c r="J24" s="10"/>
      <c r="K24" s="8"/>
      <c r="L24" s="8"/>
    </row>
    <row r="25" spans="1:12" x14ac:dyDescent="0.25">
      <c r="A25" s="2"/>
      <c r="B25" s="8"/>
      <c r="C25" s="8"/>
      <c r="D25" s="8"/>
      <c r="E25" s="8"/>
      <c r="F25" s="8"/>
      <c r="G25" s="2"/>
      <c r="H25" s="8"/>
      <c r="I25" s="8"/>
      <c r="J25" s="10"/>
      <c r="K25" s="8"/>
      <c r="L25" s="8"/>
    </row>
    <row r="26" spans="1:12" x14ac:dyDescent="0.25">
      <c r="A26" s="2"/>
      <c r="B26" s="8"/>
      <c r="C26" s="8"/>
      <c r="D26" s="8"/>
      <c r="E26" s="8"/>
      <c r="F26" s="8"/>
      <c r="G26" s="2"/>
      <c r="H26" s="8"/>
      <c r="I26" s="8"/>
      <c r="J26" s="10"/>
      <c r="K26" s="8"/>
      <c r="L26" s="8"/>
    </row>
    <row r="27" spans="1:12" x14ac:dyDescent="0.25">
      <c r="A27" s="2"/>
      <c r="B27" s="8"/>
      <c r="C27" s="8"/>
      <c r="D27" s="8"/>
      <c r="E27" s="8"/>
      <c r="F27" s="8"/>
      <c r="G27" s="2"/>
      <c r="H27" s="8"/>
      <c r="I27" s="8"/>
      <c r="J27" s="10"/>
      <c r="K27" s="8"/>
      <c r="L27" s="8"/>
    </row>
    <row r="28" spans="1:12" x14ac:dyDescent="0.25">
      <c r="A28" s="2"/>
      <c r="B28" s="8"/>
      <c r="C28" s="8"/>
      <c r="D28" s="8"/>
      <c r="E28" s="8"/>
      <c r="F28" s="8"/>
      <c r="G28" s="2"/>
      <c r="H28" s="8"/>
      <c r="I28" s="8"/>
      <c r="J28" s="10"/>
      <c r="K28" s="8"/>
      <c r="L28" s="8"/>
    </row>
    <row r="29" spans="1:12" x14ac:dyDescent="0.25">
      <c r="A29" s="2"/>
      <c r="B29" s="8"/>
      <c r="C29" s="8"/>
      <c r="D29" s="8"/>
      <c r="E29" s="8"/>
      <c r="F29" s="8"/>
      <c r="G29" s="2"/>
      <c r="H29" s="8"/>
      <c r="I29" s="8"/>
      <c r="J29" s="10"/>
      <c r="K29" s="8"/>
      <c r="L29" s="8"/>
    </row>
    <row r="30" spans="1:12" x14ac:dyDescent="0.25">
      <c r="A30" s="2"/>
      <c r="B30" s="8"/>
      <c r="C30" s="8"/>
      <c r="D30" s="8"/>
      <c r="E30" s="8"/>
      <c r="F30" s="8"/>
      <c r="G30" s="2"/>
      <c r="H30" s="8"/>
      <c r="I30" s="8"/>
      <c r="J30" s="10"/>
      <c r="K30" s="8"/>
      <c r="L30" s="8"/>
    </row>
    <row r="31" spans="1:12" x14ac:dyDescent="0.25">
      <c r="A31" s="2"/>
      <c r="B31" s="8"/>
      <c r="C31" s="8"/>
      <c r="D31" s="8"/>
      <c r="E31" s="8"/>
      <c r="F31" s="8"/>
      <c r="G31" s="2"/>
      <c r="H31" s="8"/>
      <c r="I31" s="8"/>
      <c r="J31" s="10"/>
      <c r="K31" s="8"/>
      <c r="L31" s="8"/>
    </row>
    <row r="32" spans="1:12" x14ac:dyDescent="0.25">
      <c r="A32" s="2"/>
      <c r="B32" s="8"/>
      <c r="C32" s="8"/>
      <c r="D32" s="8"/>
      <c r="E32" s="8"/>
      <c r="F32" s="8"/>
      <c r="G32" s="2"/>
      <c r="H32" s="8"/>
      <c r="I32" s="8"/>
      <c r="J32" s="10"/>
      <c r="K32" s="8"/>
      <c r="L32" s="8"/>
    </row>
    <row r="33" spans="1:12" x14ac:dyDescent="0.25">
      <c r="A33" s="2"/>
      <c r="B33" s="8"/>
      <c r="C33" s="8"/>
      <c r="D33" s="8"/>
      <c r="E33" s="8"/>
      <c r="F33" s="8"/>
      <c r="G33" s="2"/>
      <c r="H33" s="8"/>
      <c r="I33" s="8"/>
      <c r="J33" s="10"/>
      <c r="K33" s="8"/>
      <c r="L33" s="8"/>
    </row>
    <row r="34" spans="1:12" x14ac:dyDescent="0.25">
      <c r="A34" s="2"/>
      <c r="B34" s="8"/>
      <c r="C34" s="8"/>
      <c r="D34" s="8"/>
      <c r="E34" s="8"/>
      <c r="F34" s="8"/>
      <c r="G34" s="2"/>
      <c r="H34" s="8"/>
      <c r="I34" s="8"/>
      <c r="J34" s="10"/>
      <c r="K34" s="8"/>
      <c r="L34" s="8"/>
    </row>
    <row r="35" spans="1:12" x14ac:dyDescent="0.25">
      <c r="A35" s="2"/>
      <c r="B35" s="8"/>
      <c r="C35" s="8"/>
      <c r="D35" s="8"/>
      <c r="E35" s="8"/>
      <c r="F35" s="8"/>
      <c r="G35" s="2"/>
      <c r="H35" s="8"/>
      <c r="I35" s="8"/>
      <c r="J35" s="10"/>
      <c r="K35" s="8"/>
      <c r="L35" s="8"/>
    </row>
    <row r="36" spans="1:12" x14ac:dyDescent="0.25">
      <c r="A36" s="2"/>
      <c r="B36" s="8"/>
      <c r="C36" s="8"/>
      <c r="D36" s="8"/>
      <c r="E36" s="8"/>
      <c r="F36" s="8"/>
      <c r="G36" s="2"/>
      <c r="H36" s="8"/>
      <c r="I36" s="8"/>
      <c r="J36" s="10"/>
      <c r="K36" s="8"/>
      <c r="L36" s="8"/>
    </row>
    <row r="37" spans="1:12" x14ac:dyDescent="0.25">
      <c r="A37" s="2"/>
      <c r="B37" s="8"/>
      <c r="C37" s="8"/>
      <c r="D37" s="8"/>
      <c r="E37" s="8"/>
      <c r="F37" s="8"/>
      <c r="G37" s="2"/>
      <c r="H37" s="8"/>
      <c r="I37" s="8"/>
      <c r="J37" s="10"/>
      <c r="K37" s="8"/>
      <c r="L37" s="8"/>
    </row>
    <row r="38" spans="1:12" x14ac:dyDescent="0.25">
      <c r="A38" s="2"/>
      <c r="B38" s="8"/>
      <c r="C38" s="8"/>
      <c r="D38" s="8"/>
      <c r="E38" s="8"/>
      <c r="F38" s="8"/>
      <c r="G38" s="2"/>
      <c r="H38" s="8"/>
      <c r="I38" s="8"/>
      <c r="J38" s="10"/>
      <c r="K38" s="8"/>
      <c r="L38" s="8"/>
    </row>
    <row r="39" spans="1:12" x14ac:dyDescent="0.25">
      <c r="A39" s="2"/>
      <c r="B39" s="8"/>
      <c r="C39" s="8"/>
      <c r="D39" s="8"/>
      <c r="E39" s="8"/>
      <c r="F39" s="8"/>
      <c r="G39" s="2"/>
      <c r="H39" s="8"/>
      <c r="I39" s="8"/>
      <c r="J39" s="10"/>
      <c r="K39" s="8"/>
      <c r="L39" s="8"/>
    </row>
    <row r="40" spans="1:12" x14ac:dyDescent="0.25">
      <c r="A40" s="2"/>
      <c r="B40" s="8"/>
      <c r="C40" s="8"/>
      <c r="D40" s="8"/>
      <c r="E40" s="8"/>
      <c r="F40" s="8"/>
      <c r="G40" s="2"/>
      <c r="H40" s="8"/>
      <c r="I40" s="8"/>
      <c r="J40" s="10"/>
      <c r="K40" s="8"/>
      <c r="L40" s="8"/>
    </row>
    <row r="41" spans="1:12" x14ac:dyDescent="0.25">
      <c r="A41" s="2"/>
      <c r="B41" s="8"/>
      <c r="C41" s="8"/>
      <c r="D41" s="8"/>
      <c r="E41" s="8"/>
      <c r="F41" s="8"/>
      <c r="G41" s="2"/>
      <c r="H41" s="8"/>
      <c r="I41" s="8"/>
      <c r="J41" s="10"/>
      <c r="K41" s="8"/>
      <c r="L41" s="8"/>
    </row>
    <row r="42" spans="1:12" x14ac:dyDescent="0.25">
      <c r="A42" s="2"/>
      <c r="B42" s="8"/>
      <c r="C42" s="8"/>
      <c r="D42" s="8"/>
      <c r="E42" s="8"/>
      <c r="F42" s="8"/>
      <c r="G42" s="2"/>
      <c r="H42" s="8"/>
      <c r="I42" s="8"/>
      <c r="J42" s="10"/>
      <c r="K42" s="8"/>
      <c r="L42" s="8"/>
    </row>
    <row r="43" spans="1:12" x14ac:dyDescent="0.25">
      <c r="A43" s="2"/>
      <c r="B43" s="8"/>
      <c r="C43" s="8"/>
      <c r="D43" s="8"/>
      <c r="E43" s="8"/>
      <c r="F43" s="8"/>
      <c r="G43" s="2"/>
      <c r="H43" s="8"/>
      <c r="I43" s="8"/>
      <c r="J43" s="10"/>
      <c r="K43" s="8"/>
      <c r="L43" s="8"/>
    </row>
  </sheetData>
  <mergeCells count="2">
    <mergeCell ref="A2:L2"/>
    <mergeCell ref="A1:L1"/>
  </mergeCells>
  <dataValidations count="4">
    <dataValidation type="list" sqref="C5:C43" xr:uid="{00000000-0002-0000-0D00-000000000000}">
      <formula1>"Funcional,Usabilidade,Segurança,Compatibilidade,Desempenho,Aceitação"</formula1>
      <formula2>0</formula2>
    </dataValidation>
    <dataValidation type="list" sqref="G5:G43" xr:uid="{00000000-0002-0000-0D00-000001000000}">
      <formula1>"Não executado,Aprovado,Reprovado,Bloqueado"</formula1>
      <formula2>0</formula2>
    </dataValidation>
    <dataValidation type="list" sqref="H5:H43" xr:uid="{00000000-0002-0000-0D00-000002000000}">
      <formula1>"—,Baixa,Média,Alta,Crítica"</formula1>
      <formula2>0</formula2>
    </dataValidation>
    <dataValidation type="list" sqref="K5:K43" xr:uid="{00000000-0002-0000-0D00-000003000000}">
      <formula1>"Sim,Não"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3"/>
  <sheetViews>
    <sheetView topLeftCell="A2" zoomScaleNormal="100" workbookViewId="0">
      <selection activeCell="D12" sqref="D12"/>
    </sheetView>
  </sheetViews>
  <sheetFormatPr defaultColWidth="8.7109375" defaultRowHeight="15" x14ac:dyDescent="0.25"/>
  <cols>
    <col min="1" max="1" width="14" customWidth="1"/>
    <col min="2" max="6" width="16" customWidth="1"/>
    <col min="7" max="8" width="14" customWidth="1"/>
    <col min="9" max="10" width="22" customWidth="1"/>
  </cols>
  <sheetData>
    <row r="1" spans="1:10" ht="30" customHeight="1" x14ac:dyDescent="0.25">
      <c r="A1" s="37" t="s">
        <v>284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1.75" customHeight="1" x14ac:dyDescent="0.25">
      <c r="A2" s="35" t="s">
        <v>285</v>
      </c>
      <c r="B2" s="36"/>
      <c r="C2" s="36"/>
      <c r="D2" s="36"/>
      <c r="E2" s="36"/>
      <c r="F2" s="36"/>
      <c r="G2" s="36"/>
      <c r="H2" s="36"/>
      <c r="I2" s="36"/>
      <c r="J2" s="36"/>
    </row>
    <row r="4" spans="1:10" ht="27.75" customHeight="1" x14ac:dyDescent="0.25">
      <c r="A4" s="3" t="s">
        <v>286</v>
      </c>
      <c r="B4" s="3" t="s">
        <v>287</v>
      </c>
      <c r="C4" s="3" t="s">
        <v>288</v>
      </c>
      <c r="D4" s="3" t="s">
        <v>289</v>
      </c>
      <c r="E4" s="3" t="s">
        <v>290</v>
      </c>
      <c r="F4" s="3" t="s">
        <v>291</v>
      </c>
      <c r="G4" s="3" t="s">
        <v>292</v>
      </c>
      <c r="H4" s="3" t="s">
        <v>293</v>
      </c>
      <c r="I4" s="3" t="s">
        <v>294</v>
      </c>
      <c r="J4" s="3" t="s">
        <v>295</v>
      </c>
    </row>
    <row r="5" spans="1:10" x14ac:dyDescent="0.25">
      <c r="A5" s="2" t="s">
        <v>296</v>
      </c>
      <c r="B5" s="28"/>
      <c r="C5" s="28"/>
      <c r="D5" s="28"/>
      <c r="E5" s="12">
        <f t="shared" ref="E5:E23" si="0">IFERROR(C5-D5,0)</f>
      </c>
      <c r="F5" s="12">
        <f t="shared" ref="F5:F23" si="1">IFERROR(C5-B5,0)</f>
      </c>
      <c r="G5" s="16">
        <f t="shared" ref="G5:G23" si="2">IFERROR(C5/D5,0)</f>
      </c>
      <c r="H5" s="16">
        <f t="shared" ref="H5:H23" si="3">IFERROR(C5/B5,0)</f>
      </c>
      <c r="I5" s="2">
        <f t="shared" ref="I5:I23" si="4">IF(G5&gt;=1,"Dentro/abaixo","Acima do custo")</f>
      </c>
      <c r="J5" s="2">
        <f t="shared" ref="J5:J23" si="5">IF(H5&gt;=1,"No prazo/adiantado","Atrasado")</f>
      </c>
    </row>
    <row r="6" spans="1:10" x14ac:dyDescent="0.25">
      <c r="A6" s="2" t="s">
        <v>297</v>
      </c>
      <c r="B6" s="28"/>
      <c r="C6" s="28"/>
      <c r="D6" s="28"/>
      <c r="E6" s="12">
        <f t="shared" si="0"/>
      </c>
      <c r="F6" s="12">
        <f t="shared" si="1"/>
      </c>
      <c r="G6" s="16">
        <f t="shared" si="2"/>
      </c>
      <c r="H6" s="16">
        <f t="shared" si="3"/>
      </c>
      <c r="I6" s="2">
        <f t="shared" si="4"/>
      </c>
      <c r="J6" s="2">
        <f t="shared" si="5"/>
      </c>
    </row>
    <row r="7" spans="1:10" x14ac:dyDescent="0.25">
      <c r="A7" s="2" t="s">
        <v>298</v>
      </c>
      <c r="B7" s="28"/>
      <c r="C7" s="28"/>
      <c r="D7" s="28"/>
      <c r="E7" s="12">
        <f t="shared" si="0"/>
      </c>
      <c r="F7" s="12">
        <f t="shared" si="1"/>
      </c>
      <c r="G7" s="16">
        <f t="shared" si="2"/>
      </c>
      <c r="H7" s="16">
        <f t="shared" si="3"/>
      </c>
      <c r="I7" s="2">
        <f t="shared" si="4"/>
      </c>
      <c r="J7" s="2">
        <f t="shared" si="5"/>
      </c>
    </row>
    <row r="8" spans="1:10" x14ac:dyDescent="0.25">
      <c r="A8" s="2" t="s">
        <v>299</v>
      </c>
      <c r="B8" s="28"/>
      <c r="C8" s="28"/>
      <c r="D8" s="28"/>
      <c r="E8" s="12">
        <f t="shared" si="0"/>
      </c>
      <c r="F8" s="12">
        <f t="shared" si="1"/>
      </c>
      <c r="G8" s="16">
        <f t="shared" si="2"/>
      </c>
      <c r="H8" s="16">
        <f t="shared" si="3"/>
      </c>
      <c r="I8" s="2">
        <f t="shared" si="4"/>
      </c>
      <c r="J8" s="2">
        <f t="shared" si="5"/>
      </c>
    </row>
    <row r="9" spans="1:10" x14ac:dyDescent="0.25">
      <c r="A9" s="2" t="s">
        <v>300</v>
      </c>
      <c r="B9" s="28"/>
      <c r="C9" s="28"/>
      <c r="D9" s="28"/>
      <c r="E9" s="12">
        <f t="shared" si="0"/>
      </c>
      <c r="F9" s="12">
        <f t="shared" si="1"/>
      </c>
      <c r="G9" s="16">
        <f t="shared" si="2"/>
      </c>
      <c r="H9" s="16">
        <f t="shared" si="3"/>
      </c>
      <c r="I9" s="2">
        <f t="shared" si="4"/>
      </c>
      <c r="J9" s="2">
        <f t="shared" si="5"/>
      </c>
    </row>
    <row r="10" spans="1:10" x14ac:dyDescent="0.25">
      <c r="A10" s="2" t="s">
        <v>301</v>
      </c>
      <c r="B10" s="28"/>
      <c r="C10" s="28"/>
      <c r="D10" s="28"/>
      <c r="E10" s="12">
        <f t="shared" si="0"/>
      </c>
      <c r="F10" s="12">
        <f t="shared" si="1"/>
      </c>
      <c r="G10" s="16">
        <f t="shared" si="2"/>
      </c>
      <c r="H10" s="16">
        <f t="shared" si="3"/>
      </c>
      <c r="I10" s="2">
        <f t="shared" si="4"/>
      </c>
      <c r="J10" s="2">
        <f t="shared" si="5"/>
      </c>
    </row>
    <row r="11" spans="1:10" x14ac:dyDescent="0.25">
      <c r="A11" s="2" t="s">
        <v>302</v>
      </c>
      <c r="B11" s="11"/>
      <c r="C11" s="11"/>
      <c r="D11" s="11"/>
      <c r="E11" s="12">
        <f t="shared" si="0"/>
      </c>
      <c r="F11" s="12">
        <f t="shared" si="1"/>
      </c>
      <c r="G11" s="16">
        <f t="shared" si="2"/>
      </c>
      <c r="H11" s="16">
        <f t="shared" si="3"/>
      </c>
      <c r="I11" s="2">
        <f t="shared" si="4"/>
      </c>
      <c r="J11" s="2">
        <f t="shared" si="5"/>
      </c>
    </row>
    <row r="12" spans="1:10" x14ac:dyDescent="0.25">
      <c r="A12" s="2" t="s">
        <v>303</v>
      </c>
      <c r="B12" s="11"/>
      <c r="C12" s="11"/>
      <c r="D12" s="11"/>
      <c r="E12" s="12">
        <f t="shared" si="0"/>
      </c>
      <c r="F12" s="12">
        <f t="shared" si="1"/>
      </c>
      <c r="G12" s="16">
        <f t="shared" si="2"/>
      </c>
      <c r="H12" s="16">
        <f t="shared" si="3"/>
      </c>
      <c r="I12" s="2">
        <f t="shared" si="4"/>
      </c>
      <c r="J12" s="2">
        <f t="shared" si="5"/>
      </c>
    </row>
    <row r="13" spans="1:10" x14ac:dyDescent="0.25">
      <c r="A13" s="2" t="s">
        <v>304</v>
      </c>
      <c r="B13" s="11"/>
      <c r="C13" s="11"/>
      <c r="D13" s="11"/>
      <c r="E13" s="12">
        <f t="shared" si="0"/>
      </c>
      <c r="F13" s="12">
        <f t="shared" si="1"/>
      </c>
      <c r="G13" s="16">
        <f t="shared" si="2"/>
      </c>
      <c r="H13" s="16">
        <f t="shared" si="3"/>
      </c>
      <c r="I13" s="2">
        <f t="shared" si="4"/>
      </c>
      <c r="J13" s="2">
        <f t="shared" si="5"/>
      </c>
    </row>
    <row r="14" spans="1:10" x14ac:dyDescent="0.25">
      <c r="A14" s="2" t="s">
        <v>305</v>
      </c>
      <c r="B14" s="11"/>
      <c r="C14" s="11"/>
      <c r="D14" s="11"/>
      <c r="E14" s="12">
        <f t="shared" si="0"/>
      </c>
      <c r="F14" s="12">
        <f t="shared" si="1"/>
      </c>
      <c r="G14" s="16">
        <f t="shared" si="2"/>
      </c>
      <c r="H14" s="16">
        <f t="shared" si="3"/>
      </c>
      <c r="I14" s="2">
        <f t="shared" si="4"/>
      </c>
      <c r="J14" s="2">
        <f t="shared" si="5"/>
      </c>
    </row>
    <row r="15" spans="1:10" x14ac:dyDescent="0.25">
      <c r="A15" s="2" t="s">
        <v>306</v>
      </c>
      <c r="B15" s="11"/>
      <c r="C15" s="11"/>
      <c r="D15" s="11"/>
      <c r="E15" s="12">
        <f t="shared" si="0"/>
      </c>
      <c r="F15" s="12">
        <f t="shared" si="1"/>
      </c>
      <c r="G15" s="16">
        <f t="shared" si="2"/>
      </c>
      <c r="H15" s="16">
        <f t="shared" si="3"/>
      </c>
      <c r="I15" s="2">
        <f t="shared" si="4"/>
      </c>
      <c r="J15" s="2">
        <f t="shared" si="5"/>
      </c>
    </row>
    <row r="16" spans="1:10" x14ac:dyDescent="0.25">
      <c r="A16" s="2" t="s">
        <v>307</v>
      </c>
      <c r="B16" s="11"/>
      <c r="C16" s="11"/>
      <c r="D16" s="11"/>
      <c r="E16" s="12">
        <f t="shared" si="0"/>
      </c>
      <c r="F16" s="12">
        <f t="shared" si="1"/>
      </c>
      <c r="G16" s="16">
        <f t="shared" si="2"/>
      </c>
      <c r="H16" s="16">
        <f t="shared" si="3"/>
      </c>
      <c r="I16" s="2">
        <f t="shared" si="4"/>
      </c>
      <c r="J16" s="2">
        <f t="shared" si="5"/>
      </c>
    </row>
    <row r="17" spans="1:10" x14ac:dyDescent="0.25">
      <c r="A17" s="2" t="s">
        <v>308</v>
      </c>
      <c r="B17" s="11"/>
      <c r="C17" s="11"/>
      <c r="D17" s="11"/>
      <c r="E17" s="12">
        <f t="shared" si="0"/>
      </c>
      <c r="F17" s="12">
        <f t="shared" si="1"/>
      </c>
      <c r="G17" s="16">
        <f t="shared" si="2"/>
      </c>
      <c r="H17" s="16">
        <f t="shared" si="3"/>
      </c>
      <c r="I17" s="2">
        <f t="shared" si="4"/>
      </c>
      <c r="J17" s="2">
        <f t="shared" si="5"/>
      </c>
    </row>
    <row r="18" spans="1:10" x14ac:dyDescent="0.25">
      <c r="A18" s="2" t="s">
        <v>309</v>
      </c>
      <c r="B18" s="11"/>
      <c r="C18" s="11"/>
      <c r="D18" s="11"/>
      <c r="E18" s="12">
        <f t="shared" si="0"/>
      </c>
      <c r="F18" s="12">
        <f t="shared" si="1"/>
      </c>
      <c r="G18" s="16">
        <f t="shared" si="2"/>
      </c>
      <c r="H18" s="16">
        <f t="shared" si="3"/>
      </c>
      <c r="I18" s="2">
        <f t="shared" si="4"/>
      </c>
      <c r="J18" s="2">
        <f t="shared" si="5"/>
      </c>
    </row>
    <row r="19" spans="1:10" x14ac:dyDescent="0.25">
      <c r="A19" s="2" t="s">
        <v>310</v>
      </c>
      <c r="B19" s="11"/>
      <c r="C19" s="11"/>
      <c r="D19" s="11"/>
      <c r="E19" s="12">
        <f t="shared" si="0"/>
      </c>
      <c r="F19" s="12">
        <f t="shared" si="1"/>
      </c>
      <c r="G19" s="16">
        <f t="shared" si="2"/>
      </c>
      <c r="H19" s="16">
        <f t="shared" si="3"/>
      </c>
      <c r="I19" s="2">
        <f t="shared" si="4"/>
      </c>
      <c r="J19" s="2">
        <f t="shared" si="5"/>
      </c>
    </row>
    <row r="20" spans="1:10" x14ac:dyDescent="0.25">
      <c r="A20" s="2" t="s">
        <v>311</v>
      </c>
      <c r="B20" s="11"/>
      <c r="C20" s="11"/>
      <c r="D20" s="11"/>
      <c r="E20" s="12">
        <f t="shared" si="0"/>
      </c>
      <c r="F20" s="12">
        <f t="shared" si="1"/>
      </c>
      <c r="G20" s="16">
        <f t="shared" si="2"/>
      </c>
      <c r="H20" s="16">
        <f t="shared" si="3"/>
      </c>
      <c r="I20" s="2">
        <f t="shared" si="4"/>
      </c>
      <c r="J20" s="2">
        <f t="shared" si="5"/>
      </c>
    </row>
    <row r="21" spans="1:10" x14ac:dyDescent="0.25">
      <c r="A21" s="2" t="s">
        <v>312</v>
      </c>
      <c r="B21" s="11"/>
      <c r="C21" s="11"/>
      <c r="D21" s="11"/>
      <c r="E21" s="12">
        <f t="shared" si="0"/>
      </c>
      <c r="F21" s="12">
        <f t="shared" si="1"/>
      </c>
      <c r="G21" s="16">
        <f t="shared" si="2"/>
      </c>
      <c r="H21" s="16">
        <f t="shared" si="3"/>
      </c>
      <c r="I21" s="2">
        <f t="shared" si="4"/>
      </c>
      <c r="J21" s="2">
        <f t="shared" si="5"/>
      </c>
    </row>
    <row r="22" spans="1:10" x14ac:dyDescent="0.25">
      <c r="A22" s="2" t="s">
        <v>313</v>
      </c>
      <c r="B22" s="11"/>
      <c r="C22" s="11"/>
      <c r="D22" s="11"/>
      <c r="E22" s="12">
        <f t="shared" si="0"/>
      </c>
      <c r="F22" s="12">
        <f t="shared" si="1"/>
      </c>
      <c r="G22" s="16">
        <f t="shared" si="2"/>
      </c>
      <c r="H22" s="16">
        <f t="shared" si="3"/>
      </c>
      <c r="I22" s="2">
        <f t="shared" si="4"/>
      </c>
      <c r="J22" s="2">
        <f t="shared" si="5"/>
      </c>
    </row>
    <row r="23" spans="1:10" x14ac:dyDescent="0.25">
      <c r="A23" s="2" t="s">
        <v>314</v>
      </c>
      <c r="B23" s="11"/>
      <c r="C23" s="11"/>
      <c r="D23" s="11"/>
      <c r="E23" s="12">
        <f t="shared" si="0"/>
      </c>
      <c r="F23" s="12">
        <f t="shared" si="1"/>
      </c>
      <c r="G23" s="16">
        <f t="shared" si="2"/>
      </c>
      <c r="H23" s="16">
        <f t="shared" si="3"/>
      </c>
      <c r="I23" s="2">
        <f t="shared" si="4"/>
      </c>
      <c r="J23" s="2">
        <f t="shared" si="5"/>
      </c>
    </row>
    <row r="26" spans="1:10" ht="21.75" customHeight="1" x14ac:dyDescent="0.25">
      <c r="A26" s="38" t="s">
        <v>315</v>
      </c>
      <c r="B26" s="36"/>
      <c r="C26" s="36"/>
      <c r="D26" s="36"/>
      <c r="E26" s="36"/>
      <c r="F26" s="36"/>
      <c r="G26" s="36"/>
      <c r="H26" s="36"/>
      <c r="I26" s="36"/>
      <c r="J26" s="36"/>
    </row>
    <row r="27" spans="1:10" x14ac:dyDescent="0.25">
      <c r="A27" s="2" t="s">
        <v>316</v>
      </c>
      <c r="B27" s="12">
        <f>SUM(B5:B23)</f>
      </c>
    </row>
    <row r="28" spans="1:10" x14ac:dyDescent="0.25">
      <c r="A28" s="2" t="s">
        <v>317</v>
      </c>
      <c r="B28" s="12">
        <f>SUM(C5:C23)</f>
      </c>
    </row>
    <row r="29" spans="1:10" x14ac:dyDescent="0.25">
      <c r="A29" s="2" t="s">
        <v>318</v>
      </c>
      <c r="B29" s="12">
        <f>SUM(D5:D23)</f>
      </c>
    </row>
    <row r="30" spans="1:10" x14ac:dyDescent="0.25">
      <c r="A30" s="2" t="s">
        <v>12</v>
      </c>
      <c r="B30" s="16">
        <f>IFERROR(B28/B29,0)</f>
      </c>
    </row>
    <row r="31" spans="1:10" x14ac:dyDescent="0.25">
      <c r="A31" s="2" t="s">
        <v>13</v>
      </c>
      <c r="B31" s="16">
        <f>IFERROR(B28/B27,0)</f>
      </c>
    </row>
    <row r="32" spans="1:10" x14ac:dyDescent="0.25">
      <c r="A32" s="2" t="s">
        <v>294</v>
      </c>
      <c r="B32" s="2">
        <f>IF(B30&gt;=1,"Dentro/abaixo do custo","Acima do custo")</f>
      </c>
    </row>
    <row r="33" spans="1:2" x14ac:dyDescent="0.25">
      <c r="A33" s="2" t="s">
        <v>295</v>
      </c>
      <c r="B33" s="2">
        <f>IF(B31&gt;=1,"No prazo/adiantado","Atrasado")</f>
      </c>
    </row>
  </sheetData>
  <mergeCells count="3">
    <mergeCell ref="A1:J1"/>
    <mergeCell ref="A26:J26"/>
    <mergeCell ref="A2:J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1"/>
  <sheetViews>
    <sheetView topLeftCell="A10" zoomScaleNormal="100" workbookViewId="0">
      <selection activeCell="C11" sqref="C11"/>
    </sheetView>
  </sheetViews>
  <sheetFormatPr defaultColWidth="8.7109375" defaultRowHeight="15" x14ac:dyDescent="0.25"/>
  <cols>
    <col min="1" max="1" width="34" customWidth="1"/>
    <col min="2" max="4" width="24" customWidth="1"/>
    <col min="5" max="5" width="18" customWidth="1"/>
    <col min="6" max="6" width="24" customWidth="1"/>
  </cols>
  <sheetData>
    <row r="1" spans="1:6" ht="30" customHeight="1" x14ac:dyDescent="0.25">
      <c r="A1" s="37" t="s">
        <v>319</v>
      </c>
      <c r="B1" s="36"/>
      <c r="C1" s="36"/>
      <c r="D1" s="36"/>
      <c r="E1" s="36"/>
      <c r="F1" s="36"/>
    </row>
    <row r="2" spans="1:6" ht="21.75" customHeight="1" x14ac:dyDescent="0.25">
      <c r="A2" s="35" t="s">
        <v>320</v>
      </c>
      <c r="B2" s="36"/>
      <c r="C2" s="36"/>
      <c r="D2" s="36"/>
      <c r="E2" s="36"/>
      <c r="F2" s="36"/>
    </row>
    <row r="4" spans="1:6" ht="27.75" customHeight="1" x14ac:dyDescent="0.25">
      <c r="A4" s="3" t="s">
        <v>16</v>
      </c>
      <c r="B4" s="3" t="s">
        <v>321</v>
      </c>
      <c r="C4" s="3" t="s">
        <v>322</v>
      </c>
      <c r="D4" s="3" t="s">
        <v>323</v>
      </c>
      <c r="E4" s="3" t="s">
        <v>17</v>
      </c>
      <c r="F4" s="3" t="s">
        <v>324</v>
      </c>
    </row>
    <row r="5" spans="1:6" x14ac:dyDescent="0.25">
      <c r="A5" s="2" t="s">
        <v>325</v>
      </c>
      <c r="B5" s="2">
        <f>IF('7. Orçamento'!B37=0,"",'7. Orçamento'!B37)</f>
      </c>
      <c r="C5" s="2">
        <f>IF('7. Orçamento'!B40=0,"",'7. Orçamento'!B40)</f>
      </c>
      <c r="D5" s="2" t="s">
        <v>177</v>
      </c>
      <c r="E5" s="17">
        <f>IF(C5="","",IFERROR(B5/C5,0))</f>
      </c>
      <c r="F5" s="2">
        <f>IF(E5="","",IF(E5&lt;=0.4,"Excelente",IF(E5&lt;=0.7,"Adequado","Insuficiente")))</f>
      </c>
    </row>
    <row r="6" spans="1:6" x14ac:dyDescent="0.25">
      <c r="A6" s="2" t="s">
        <v>326</v>
      </c>
      <c r="B6" s="2" t="s">
        <v>177</v>
      </c>
      <c r="C6" s="2" t="s">
        <v>177</v>
      </c>
      <c r="D6" s="2" t="s">
        <v>177</v>
      </c>
      <c r="E6" s="17">
        <f>IF(E5="","",MAX(MIN(1-E5,1),0))</f>
      </c>
      <c r="F6" s="17">
        <f>IF(E6="","",E6)</f>
      </c>
    </row>
    <row r="7" spans="1:6" x14ac:dyDescent="0.25">
      <c r="A7" s="2" t="s">
        <v>327</v>
      </c>
      <c r="B7" s="2">
        <f>IF('13. EVM'!B30=0,"",'13. EVM'!B30)</f>
      </c>
      <c r="C7" s="2">
        <f>IF('13. EVM'!B31=0,"",'13. EVM'!B31)</f>
      </c>
      <c r="D7" s="2" t="s">
        <v>177</v>
      </c>
      <c r="E7" s="17">
        <f>IF(OR(B7="",C7=""),"",IFERROR((B7+C7)/2,0))</f>
      </c>
      <c r="F7" s="2">
        <f>IF(E7="","",IF(E7&gt;=0.95,"Excelente",IF(E7&gt;=0.85,"Adequado","Insuficiente")))</f>
      </c>
    </row>
    <row r="8" spans="1:6" x14ac:dyDescent="0.25">
      <c r="A8" s="2" t="s">
        <v>328</v>
      </c>
      <c r="B8" s="27"/>
      <c r="C8" s="2" t="s">
        <v>177</v>
      </c>
      <c r="D8" s="2" t="s">
        <v>177</v>
      </c>
      <c r="E8" s="17">
        <f>IF(B8="","",IFERROR(B8/5,0))</f>
      </c>
      <c r="F8" s="17">
        <f>IF(E8="","",E8)</f>
      </c>
    </row>
    <row r="9" spans="1:6" x14ac:dyDescent="0.25">
      <c r="A9" s="2" t="s">
        <v>329</v>
      </c>
      <c r="B9" s="27">
        <v>4</v>
      </c>
      <c r="C9" s="27">
        <v>4</v>
      </c>
      <c r="D9" s="2" t="s">
        <v>177</v>
      </c>
      <c r="E9" s="17">
        <f>IF(C9="","",IFERROR(B9/C9,0))</f>
      </c>
      <c r="F9" s="2">
        <f>IF(E9="","",IF(E9&gt;=0.5,"Excelente",IF(E9&gt;=0.3,"Adequado","Insuficiente")))</f>
      </c>
    </row>
    <row r="10" spans="1:6" x14ac:dyDescent="0.25">
      <c r="A10" s="2" t="s">
        <v>330</v>
      </c>
      <c r="B10" s="27"/>
      <c r="C10" s="27"/>
      <c r="D10" s="27"/>
      <c r="E10" s="17">
        <f>IF(OR(B10="",C10="",D10=""),"",IFERROR((B10/C10)/D10,0))</f>
      </c>
      <c r="F10" s="17">
        <f>IF(E10="","",E10)</f>
      </c>
    </row>
    <row r="11" spans="1:6" x14ac:dyDescent="0.25">
      <c r="A11" s="2" t="s">
        <v>331</v>
      </c>
      <c r="B11" s="27"/>
      <c r="C11" s="27"/>
      <c r="D11" s="8" t="s">
        <v>177</v>
      </c>
      <c r="E11" s="17">
        <f>IF(C11="","",IFERROR(B11/C11,0))</f>
      </c>
      <c r="F11" s="17">
        <f>IF(E11="","",E11)</f>
      </c>
    </row>
    <row r="14" spans="1:6" ht="21.75" customHeight="1" x14ac:dyDescent="0.25">
      <c r="A14" s="38" t="s">
        <v>332</v>
      </c>
      <c r="B14" s="36"/>
      <c r="C14" s="36"/>
      <c r="D14" s="36"/>
      <c r="E14" s="36"/>
      <c r="F14" s="36"/>
    </row>
    <row r="15" spans="1:6" x14ac:dyDescent="0.25">
      <c r="A15" s="2" t="s">
        <v>12</v>
      </c>
      <c r="B15" s="16">
        <f>B7</f>
      </c>
    </row>
    <row r="16" spans="1:6" x14ac:dyDescent="0.25">
      <c r="A16" s="2" t="s">
        <v>13</v>
      </c>
      <c r="B16" s="16">
        <f>C7</f>
      </c>
    </row>
    <row r="17" spans="1:2" x14ac:dyDescent="0.25">
      <c r="A17" s="2" t="s">
        <v>333</v>
      </c>
      <c r="B17" s="17">
        <f>E5</f>
      </c>
    </row>
    <row r="18" spans="1:2" x14ac:dyDescent="0.25">
      <c r="A18" s="2" t="s">
        <v>334</v>
      </c>
      <c r="B18" s="17">
        <f>E7</f>
      </c>
    </row>
    <row r="19" spans="1:2" x14ac:dyDescent="0.25">
      <c r="A19" s="2" t="s">
        <v>335</v>
      </c>
      <c r="B19" s="17">
        <f>E9</f>
      </c>
    </row>
    <row r="20" spans="1:2" x14ac:dyDescent="0.25">
      <c r="A20" s="2" t="s">
        <v>336</v>
      </c>
      <c r="B20" s="17">
        <f>E10</f>
      </c>
    </row>
    <row r="21" spans="1:2" x14ac:dyDescent="0.25">
      <c r="A21" s="2" t="s">
        <v>337</v>
      </c>
      <c r="B21" s="17">
        <f>E11</f>
      </c>
    </row>
  </sheetData>
  <mergeCells count="3">
    <mergeCell ref="A2:F2"/>
    <mergeCell ref="A14:F14"/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9"/>
  <sheetViews>
    <sheetView topLeftCell="B22" zoomScaleNormal="100" workbookViewId="0">
      <selection activeCell="D6" sqref="D6"/>
    </sheetView>
  </sheetViews>
  <sheetFormatPr defaultColWidth="8.7109375" defaultRowHeight="15" x14ac:dyDescent="0.25"/>
  <cols>
    <col min="1" max="1" width="18" customWidth="1"/>
    <col min="2" max="2" width="42" customWidth="1"/>
    <col min="3" max="3" width="16" customWidth="1"/>
    <col min="4" max="4" width="22" customWidth="1"/>
    <col min="5" max="5" width="44" customWidth="1"/>
    <col min="6" max="6" width="20" customWidth="1"/>
    <col min="7" max="7" width="14" customWidth="1"/>
    <col min="8" max="8" width="34" customWidth="1"/>
  </cols>
  <sheetData>
    <row r="1" spans="1:8" ht="30" customHeight="1" x14ac:dyDescent="0.25">
      <c r="A1" s="37" t="s">
        <v>338</v>
      </c>
      <c r="B1" s="36"/>
      <c r="C1" s="36"/>
      <c r="D1" s="36"/>
      <c r="E1" s="36"/>
      <c r="F1" s="36"/>
      <c r="G1" s="36"/>
      <c r="H1" s="36"/>
    </row>
    <row r="2" spans="1:8" ht="21.75" customHeight="1" x14ac:dyDescent="0.25">
      <c r="A2" s="35" t="s">
        <v>339</v>
      </c>
      <c r="B2" s="36"/>
      <c r="C2" s="36"/>
      <c r="D2" s="36"/>
      <c r="E2" s="36"/>
      <c r="F2" s="36"/>
      <c r="G2" s="36"/>
      <c r="H2" s="36"/>
    </row>
    <row r="4" spans="1:8" ht="27.75" customHeight="1" x14ac:dyDescent="0.25">
      <c r="A4" s="3" t="s">
        <v>216</v>
      </c>
      <c r="B4" s="3" t="s">
        <v>131</v>
      </c>
      <c r="C4" s="3" t="s">
        <v>340</v>
      </c>
      <c r="D4" s="3" t="s">
        <v>130</v>
      </c>
      <c r="E4" s="3" t="s">
        <v>341</v>
      </c>
      <c r="F4" s="3" t="s">
        <v>22</v>
      </c>
      <c r="G4" s="3" t="s">
        <v>250</v>
      </c>
      <c r="H4" s="3" t="s">
        <v>21</v>
      </c>
    </row>
    <row r="5" spans="1:8" x14ac:dyDescent="0.25">
      <c r="A5" s="2" t="s">
        <v>342</v>
      </c>
      <c r="B5" s="2" t="s">
        <v>343</v>
      </c>
      <c r="C5" s="2" t="s">
        <v>208</v>
      </c>
      <c r="D5" s="8" t="inlineStr">
        <is>
          <t xml:space="preserve">Arthur Laranjeira</t>
        </is>
      </c>
      <c r="E5" s="8" t="inlineStr">
        <is>
          <t xml:space="preserve">Diário de bordo — Entrada 2</t>
        </is>
      </c>
      <c r="F5" s="8" t="inlineStr">
        <is>
          <t xml:space="preserve">Concluído</t>
        </is>
      </c>
      <c r="G5" s="10">
        <v>46252</v>
      </c>
      <c r="H5" s="8" t="inlineStr">
        <is>
          <t xml:space="preserve">Parceiro aceitou formalmente a parceria em reunião presencial</t>
        </is>
      </c>
    </row>
    <row r="6" spans="1:8" ht="90" customHeight="1" x14ac:dyDescent="0.25">
      <c r="A6" s="2" t="s">
        <v>344</v>
      </c>
      <c r="B6" s="2" t="s">
        <v>207</v>
      </c>
      <c r="C6" s="2" t="s">
        <v>40</v>
      </c>
      <c r="D6" s="27"/>
      <c r="E6" s="27"/>
      <c r="F6" s="27"/>
      <c r="G6" s="10"/>
      <c r="H6" s="34"/>
    </row>
    <row r="7" spans="1:8" ht="30" x14ac:dyDescent="0.25">
      <c r="A7" s="2" t="s">
        <v>344</v>
      </c>
      <c r="B7" s="2" t="s">
        <v>345</v>
      </c>
      <c r="C7" s="2" t="s">
        <v>44</v>
      </c>
      <c r="D7" s="27" t="inlineStr">
        <is>
          <t xml:space="preserve">Lucas De Gois; João Lucas</t>
        </is>
      </c>
      <c r="E7" s="27" t="inlineStr">
        <is>
          <t xml:space="preserve">Repositório do Projeto / Documentação</t>
        </is>
      </c>
      <c r="F7" s="27"/>
      <c r="G7" s="10"/>
      <c r="H7" s="8"/>
    </row>
    <row r="8" spans="1:8" ht="30" x14ac:dyDescent="0.25">
      <c r="A8" s="2" t="s">
        <v>344</v>
      </c>
      <c r="B8" s="2" t="s">
        <v>346</v>
      </c>
      <c r="C8" s="2" t="s">
        <v>347</v>
      </c>
      <c r="D8" s="27" t="inlineStr">
        <is>
          <t xml:space="preserve">Arthur Laranjeira</t>
        </is>
      </c>
      <c r="E8" s="27" t="inlineStr">
        <is>
          <t xml:space="preserve">TAP_PisoFacil_v1.2.docx / Ata assinada na Pasta Google Drive</t>
        </is>
      </c>
      <c r="F8" s="27" t="inlineStr">
        <is>
          <t xml:space="preserve">Concluído</t>
        </is>
      </c>
      <c r="G8" s="10">
        <v>46252</v>
      </c>
      <c r="H8" s="8" t="inlineStr">
        <is>
          <t xml:space="preserve">TAP aprovado sem ressalvas</t>
        </is>
      </c>
    </row>
    <row r="9" spans="1:8" ht="30" x14ac:dyDescent="0.25">
      <c r="A9" s="2" t="s">
        <v>348</v>
      </c>
      <c r="B9" s="2" t="s">
        <v>209</v>
      </c>
      <c r="C9" s="2" t="s">
        <v>347</v>
      </c>
      <c r="D9" s="27"/>
      <c r="E9" s="27"/>
      <c r="F9" s="27"/>
      <c r="G9" s="10"/>
      <c r="H9" s="8"/>
    </row>
    <row r="10" spans="1:8" ht="30" x14ac:dyDescent="0.25">
      <c r="A10" s="2" t="s">
        <v>348</v>
      </c>
      <c r="B10" s="2" t="s">
        <v>349</v>
      </c>
      <c r="C10" s="2" t="s">
        <v>350</v>
      </c>
      <c r="D10" s="27" t="inlineStr">
        <is>
          <t xml:space="preserve">Arthur Laranjeira</t>
        </is>
      </c>
      <c r="E10" s="27" t="inlineStr">
        <is>
          <t xml:space="preserve">Planejamento integrado da disciplina</t>
        </is>
      </c>
      <c r="F10" s="27"/>
      <c r="G10" s="10"/>
      <c r="H10" s="8"/>
    </row>
    <row r="11" spans="1:8" ht="30" x14ac:dyDescent="0.25">
      <c r="A11" s="2" t="s">
        <v>348</v>
      </c>
      <c r="B11" s="2" t="s">
        <v>191</v>
      </c>
      <c r="C11" s="2" t="s">
        <v>350</v>
      </c>
      <c r="D11" s="27" t="inlineStr">
        <is>
          <t xml:space="preserve">Arthur Laranjeira</t>
        </is>
      </c>
      <c r="E11" s="27" t="inlineStr">
        <is>
          <t xml:space="preserve">Planejamento integrado da disciplina</t>
        </is>
      </c>
      <c r="F11" s="27"/>
      <c r="G11" s="10"/>
      <c r="H11" s="8"/>
    </row>
    <row r="12" spans="1:8" ht="30" x14ac:dyDescent="0.25">
      <c r="A12" s="2" t="s">
        <v>348</v>
      </c>
      <c r="B12" s="2" t="s">
        <v>351</v>
      </c>
      <c r="C12" s="2" t="s">
        <v>350</v>
      </c>
      <c r="D12" s="27"/>
      <c r="E12" s="27"/>
      <c r="F12" s="27"/>
      <c r="G12" s="10"/>
      <c r="H12" s="8"/>
    </row>
    <row r="13" spans="1:8" ht="30" x14ac:dyDescent="0.25">
      <c r="A13" s="2" t="s">
        <v>348</v>
      </c>
      <c r="B13" s="2" t="s">
        <v>352</v>
      </c>
      <c r="C13" s="2" t="s">
        <v>350</v>
      </c>
      <c r="D13" s="27" t="inlineStr">
        <is>
          <t xml:space="preserve">Arthur Laranjeira</t>
        </is>
      </c>
      <c r="E13" s="27" t="inlineStr">
        <is>
          <t xml:space="preserve">Planejamento integrado da disciplina</t>
        </is>
      </c>
      <c r="F13" s="27"/>
      <c r="G13" s="10"/>
      <c r="H13" s="8"/>
    </row>
    <row r="14" spans="1:8" ht="30" x14ac:dyDescent="0.25">
      <c r="A14" s="2" t="s">
        <v>348</v>
      </c>
      <c r="B14" s="2" t="s">
        <v>192</v>
      </c>
      <c r="C14" s="2" t="s">
        <v>350</v>
      </c>
      <c r="D14" s="27"/>
      <c r="E14" s="27"/>
      <c r="F14" s="27"/>
      <c r="G14" s="10"/>
      <c r="H14" s="8"/>
    </row>
    <row r="15" spans="1:8" ht="30" x14ac:dyDescent="0.25">
      <c r="A15" s="2" t="s">
        <v>348</v>
      </c>
      <c r="B15" s="2" t="s">
        <v>211</v>
      </c>
      <c r="C15" s="2" t="s">
        <v>350</v>
      </c>
      <c r="D15" s="27"/>
      <c r="E15" s="27"/>
      <c r="F15" s="27"/>
      <c r="G15" s="10"/>
      <c r="H15" s="8"/>
    </row>
    <row r="16" spans="1:8" ht="30" x14ac:dyDescent="0.25">
      <c r="A16" s="2" t="s">
        <v>353</v>
      </c>
      <c r="B16" s="2" t="s">
        <v>354</v>
      </c>
      <c r="C16" s="2" t="s">
        <v>210</v>
      </c>
      <c r="D16" s="27" t="inlineStr">
        <is>
          <t xml:space="preserve">Lucas De Gois; João Lucas</t>
        </is>
      </c>
      <c r="E16" s="27" t="inlineStr">
        <is>
          <t xml:space="preserve">Quadro Trello/Kanban</t>
        </is>
      </c>
      <c r="F16" s="27"/>
      <c r="G16" s="10"/>
      <c r="H16" s="8" t="inlineStr">
        <is>
          <t xml:space="preserve">Previsto para 01/09/2026</t>
        </is>
      </c>
    </row>
    <row r="17" spans="1:8" ht="30" x14ac:dyDescent="0.25">
      <c r="A17" s="2" t="s">
        <v>355</v>
      </c>
      <c r="B17" s="2" t="s">
        <v>194</v>
      </c>
      <c r="C17" s="2" t="s">
        <v>356</v>
      </c>
      <c r="D17" s="27" t="inlineStr">
        <is>
          <t xml:space="preserve">Gabriel Candido</t>
        </is>
      </c>
      <c r="E17" s="27" t="inlineStr">
        <is>
          <t xml:space="preserve">Link Figma</t>
        </is>
      </c>
      <c r="F17" s="27"/>
      <c r="G17" s="10"/>
      <c r="H17" s="8" t="inlineStr">
        <is>
          <t xml:space="preserve">Wireframe previsto para 05/09/2026</t>
        </is>
      </c>
    </row>
    <row r="18" spans="1:8" ht="30" x14ac:dyDescent="0.25">
      <c r="A18" s="2" t="s">
        <v>355</v>
      </c>
      <c r="B18" s="2" t="s">
        <v>357</v>
      </c>
      <c r="C18" s="2" t="s">
        <v>356</v>
      </c>
      <c r="D18" s="27"/>
      <c r="E18" s="27"/>
      <c r="F18" s="27"/>
      <c r="G18" s="10"/>
      <c r="H18" s="8"/>
    </row>
    <row r="19" spans="1:8" ht="30" x14ac:dyDescent="0.25">
      <c r="A19" s="2" t="s">
        <v>355</v>
      </c>
      <c r="B19" s="2" t="s">
        <v>212</v>
      </c>
      <c r="C19" s="2" t="s">
        <v>356</v>
      </c>
      <c r="D19" s="27"/>
      <c r="E19" s="27"/>
      <c r="F19" s="27"/>
      <c r="G19" s="10"/>
      <c r="H19" s="8"/>
    </row>
    <row r="20" spans="1:8" ht="30" x14ac:dyDescent="0.25">
      <c r="A20" s="2" t="s">
        <v>355</v>
      </c>
      <c r="B20" s="2" t="s">
        <v>358</v>
      </c>
      <c r="C20" s="2" t="s">
        <v>359</v>
      </c>
      <c r="D20" s="27"/>
      <c r="E20" s="27"/>
      <c r="F20" s="27"/>
      <c r="G20" s="10"/>
      <c r="H20" s="8"/>
    </row>
    <row r="21" spans="1:8" ht="30" x14ac:dyDescent="0.25">
      <c r="A21" s="2" t="s">
        <v>353</v>
      </c>
      <c r="B21" s="2" t="s">
        <v>193</v>
      </c>
      <c r="C21" s="2" t="s">
        <v>356</v>
      </c>
      <c r="D21" s="27" t="inlineStr">
        <is>
          <t xml:space="preserve">Arthur Laranjeira</t>
        </is>
      </c>
      <c r="E21" s="27" t="inlineStr">
        <is>
          <t xml:space="preserve">Quadro Kanban / Diário de Bordo do Projeto</t>
        </is>
      </c>
      <c r="F21" s="27"/>
      <c r="G21" s="10"/>
      <c r="H21" s="8"/>
    </row>
    <row r="22" spans="1:8" ht="30" x14ac:dyDescent="0.25">
      <c r="A22" s="2" t="s">
        <v>353</v>
      </c>
      <c r="B22" s="2" t="s">
        <v>360</v>
      </c>
      <c r="C22" s="2" t="s">
        <v>356</v>
      </c>
      <c r="D22" s="27"/>
      <c r="E22" s="27"/>
      <c r="F22" s="27"/>
      <c r="G22" s="10"/>
      <c r="H22" s="8"/>
    </row>
    <row r="23" spans="1:8" ht="30" x14ac:dyDescent="0.25">
      <c r="A23" s="2" t="s">
        <v>361</v>
      </c>
      <c r="B23" s="2" t="s">
        <v>28</v>
      </c>
      <c r="C23" s="2" t="s">
        <v>362</v>
      </c>
      <c r="D23" s="27"/>
      <c r="E23" s="27"/>
      <c r="F23" s="27"/>
      <c r="G23" s="10"/>
      <c r="H23" s="8"/>
    </row>
    <row r="24" spans="1:8" ht="30" x14ac:dyDescent="0.25">
      <c r="A24" s="2" t="s">
        <v>363</v>
      </c>
      <c r="B24" s="2" t="s">
        <v>213</v>
      </c>
      <c r="C24" s="2" t="s">
        <v>362</v>
      </c>
      <c r="D24" s="27"/>
      <c r="E24" s="27"/>
      <c r="F24" s="27"/>
      <c r="G24" s="10"/>
      <c r="H24" s="8"/>
    </row>
    <row r="25" spans="1:8" ht="30" x14ac:dyDescent="0.25">
      <c r="A25" s="2" t="s">
        <v>361</v>
      </c>
      <c r="B25" s="2" t="s">
        <v>195</v>
      </c>
      <c r="C25" s="2" t="s">
        <v>362</v>
      </c>
      <c r="D25" s="27"/>
      <c r="E25" s="27"/>
      <c r="F25" s="27"/>
      <c r="G25" s="10"/>
      <c r="H25" s="8"/>
    </row>
    <row r="26" spans="1:8" ht="30" x14ac:dyDescent="0.25">
      <c r="A26" s="2" t="s">
        <v>361</v>
      </c>
      <c r="B26" s="2" t="s">
        <v>196</v>
      </c>
      <c r="C26" s="2" t="s">
        <v>362</v>
      </c>
      <c r="D26" s="27"/>
      <c r="E26" s="27"/>
      <c r="F26" s="27"/>
      <c r="G26" s="10"/>
      <c r="H26" s="8"/>
    </row>
    <row r="27" spans="1:8" ht="30" x14ac:dyDescent="0.25">
      <c r="A27" s="2" t="s">
        <v>197</v>
      </c>
      <c r="B27" s="2" t="s">
        <v>198</v>
      </c>
      <c r="C27" s="2" t="s">
        <v>364</v>
      </c>
      <c r="D27" s="27"/>
      <c r="E27" s="27"/>
      <c r="F27" s="27"/>
      <c r="G27" s="10"/>
      <c r="H27" s="8"/>
    </row>
    <row r="28" spans="1:8" ht="30" x14ac:dyDescent="0.25">
      <c r="A28" s="2" t="s">
        <v>197</v>
      </c>
      <c r="B28" s="2" t="s">
        <v>365</v>
      </c>
      <c r="C28" s="2" t="s">
        <v>364</v>
      </c>
      <c r="D28" s="27" t="inlineStr">
        <is>
          <t xml:space="preserve">Arthur Laranjeira</t>
        </is>
      </c>
      <c r="E28" s="27" t="inlineStr">
        <is>
          <t xml:space="preserve">Registro fotográfico / Arquivo da equipe</t>
        </is>
      </c>
      <c r="F28" s="27"/>
      <c r="G28" s="10"/>
      <c r="H28" s="8"/>
    </row>
    <row r="29" spans="1:8" ht="30" x14ac:dyDescent="0.25">
      <c r="A29" s="2" t="s">
        <v>197</v>
      </c>
      <c r="B29" s="2" t="s">
        <v>257</v>
      </c>
      <c r="C29" s="2" t="s">
        <v>364</v>
      </c>
      <c r="D29" s="27"/>
      <c r="E29" s="27"/>
      <c r="F29" s="27"/>
      <c r="G29" s="10"/>
      <c r="H29" s="8"/>
    </row>
  </sheetData>
  <mergeCells count="2">
    <mergeCell ref="A2:H2"/>
    <mergeCell ref="A1:H1"/>
  </mergeCells>
  <dataValidations count="1">
    <dataValidation type="list" sqref="F5:F29" xr:uid="{00000000-0002-0000-1000-000000000000}">
      <formula1>"Não iniciado,Em andamento,Aguardando parceiro,Em validação,Concluído,Bloqueado"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6"/>
  <sheetViews>
    <sheetView topLeftCell="A27" zoomScaleNormal="100" workbookViewId="0">
      <selection activeCell="F8" sqref="F8"/>
    </sheetView>
  </sheetViews>
  <sheetFormatPr defaultColWidth="8.7109375" defaultRowHeight="15" x14ac:dyDescent="0.25"/>
  <cols>
    <col min="1" max="1" width="30" customWidth="1"/>
    <col min="2" max="2" width="45" customWidth="1"/>
    <col min="3" max="3" width="22" customWidth="1"/>
    <col min="4" max="4" width="18" customWidth="1"/>
    <col min="5" max="5" width="35" customWidth="1"/>
    <col min="6" max="6" width="22" customWidth="1"/>
    <col min="7" max="7" width="34" customWidth="1"/>
    <col min="8" max="8" width="22" customWidth="1"/>
  </cols>
  <sheetData>
    <row r="1" spans="1:8" ht="30" customHeight="1" x14ac:dyDescent="0.25">
      <c r="A1" s="37" t="s">
        <v>366</v>
      </c>
      <c r="B1" s="36"/>
      <c r="C1" s="36"/>
      <c r="D1" s="36"/>
      <c r="E1" s="36"/>
      <c r="F1" s="36"/>
      <c r="G1" s="36"/>
      <c r="H1" s="36"/>
    </row>
    <row r="2" spans="1:8" ht="21.75" customHeight="1" x14ac:dyDescent="0.25">
      <c r="A2" s="35" t="s">
        <v>367</v>
      </c>
      <c r="B2" s="36"/>
      <c r="C2" s="36"/>
      <c r="D2" s="36"/>
      <c r="E2" s="36"/>
      <c r="F2" s="36"/>
      <c r="G2" s="36"/>
      <c r="H2" s="36"/>
    </row>
    <row r="4" spans="1:8" ht="21.75" customHeight="1" x14ac:dyDescent="0.25">
      <c r="A4" s="38" t="s">
        <v>368</v>
      </c>
      <c r="B4" s="36"/>
      <c r="C4" s="36"/>
      <c r="D4" s="36"/>
      <c r="E4" s="36"/>
      <c r="F4" s="36"/>
      <c r="G4" s="36"/>
      <c r="H4" s="36"/>
    </row>
    <row r="5" spans="1:8" ht="27.75" customHeight="1" x14ac:dyDescent="0.25">
      <c r="A5" s="3" t="s">
        <v>121</v>
      </c>
      <c r="B5" s="3" t="s">
        <v>369</v>
      </c>
      <c r="C5" s="3" t="s">
        <v>16</v>
      </c>
      <c r="D5" s="3" t="s">
        <v>7</v>
      </c>
      <c r="E5" s="3" t="s">
        <v>17</v>
      </c>
      <c r="F5" s="3" t="s">
        <v>22</v>
      </c>
      <c r="G5" s="3" t="s">
        <v>370</v>
      </c>
      <c r="H5" s="3" t="s">
        <v>131</v>
      </c>
    </row>
    <row r="6" spans="1:8" x14ac:dyDescent="0.25">
      <c r="A6" s="2">
        <v>1</v>
      </c>
      <c r="B6" s="27" t="inlineStr">
        <is>
          <t xml:space="preserve">OBJ-01 — Landing page responsiva publicada</t>
        </is>
      </c>
      <c r="C6" s="27" t="inlineStr">
        <is>
          <t xml:space="preserve">Site publicado, responsivo e carregando em &lt; 3 s</t>
        </is>
      </c>
      <c r="D6" s="27" t="inlineStr">
        <is>
          <t xml:space="preserve">Publicado até o encerramento do semestre</t>
        </is>
      </c>
      <c r="E6" s="27"/>
      <c r="F6" s="27"/>
      <c r="G6" s="27"/>
      <c r="H6" s="8"/>
    </row>
    <row r="7" spans="1:8" ht="30" x14ac:dyDescent="0.25">
      <c r="A7" s="2">
        <v>2</v>
      </c>
      <c r="B7" s="27" t="inlineStr">
        <is>
          <t xml:space="preserve">OBJ-02 — Catálogo interativo de antes e depois</t>
        </is>
      </c>
      <c r="C7" s="27" t="inlineStr">
        <is>
          <t xml:space="preserve">Galeria aprovada pelo parceiro no teste de usabilidade</t>
        </is>
      </c>
      <c r="D7" s="27" t="inlineStr">
        <is>
          <t xml:space="preserve">Mínimo de 6 projetos de restauro</t>
        </is>
      </c>
      <c r="E7" s="27"/>
      <c r="F7" s="27"/>
      <c r="G7" s="27"/>
      <c r="H7" s="8"/>
    </row>
    <row r="8" spans="1:8" ht="30" x14ac:dyDescent="0.25">
      <c r="A8" s="2">
        <v>3</v>
      </c>
      <c r="B8" s="27" t="inlineStr">
        <is>
          <t xml:space="preserve">OBJ-03 — Canal ágil de captação via WhatsApp</t>
        </is>
      </c>
      <c r="C8" s="27" t="inlineStr">
        <is>
          <t xml:space="preserve">Acionamento do CTA/WhatsApp nos testes de clique</t>
        </is>
      </c>
      <c r="D8" s="27" t="inlineStr">
        <is>
          <t xml:space="preserve">100% dos testes de clique</t>
        </is>
      </c>
      <c r="E8" s="27"/>
      <c r="F8" s="27"/>
      <c r="G8" s="27"/>
      <c r="H8" s="8"/>
    </row>
    <row r="9" spans="1:8" x14ac:dyDescent="0.25">
      <c r="A9" s="2">
        <v>4</v>
      </c>
      <c r="B9" s="27"/>
      <c r="C9" s="27"/>
      <c r="D9" s="27"/>
      <c r="E9" s="27"/>
      <c r="F9" s="27"/>
      <c r="G9" s="27"/>
      <c r="H9" s="8"/>
    </row>
    <row r="10" spans="1:8" ht="30" x14ac:dyDescent="0.25">
      <c r="A10" s="2">
        <v>5</v>
      </c>
      <c r="B10" s="27"/>
      <c r="C10" s="27"/>
      <c r="D10" s="27"/>
      <c r="E10" s="27"/>
      <c r="F10" s="27"/>
      <c r="G10" s="27"/>
      <c r="H10" s="8"/>
    </row>
    <row r="11" spans="1:8" ht="30" x14ac:dyDescent="0.25">
      <c r="A11" s="2">
        <v>6</v>
      </c>
      <c r="B11" s="27"/>
      <c r="C11" s="27"/>
      <c r="D11" s="27"/>
      <c r="E11" s="27"/>
      <c r="F11" s="27"/>
      <c r="G11" s="27"/>
      <c r="H11" s="8"/>
    </row>
    <row r="12" spans="1:8" ht="45" x14ac:dyDescent="0.25">
      <c r="A12" s="2">
        <v>7</v>
      </c>
      <c r="B12" s="27"/>
      <c r="C12" s="27"/>
      <c r="D12" s="27"/>
      <c r="E12" s="27"/>
      <c r="F12" s="27"/>
      <c r="G12" s="27"/>
      <c r="H12" s="8"/>
    </row>
    <row r="13" spans="1:8" ht="30" x14ac:dyDescent="0.25">
      <c r="A13" s="2">
        <v>8</v>
      </c>
      <c r="B13" s="27"/>
      <c r="C13" s="27"/>
      <c r="D13" s="27"/>
      <c r="E13" s="27"/>
      <c r="F13" s="27"/>
      <c r="G13" s="27"/>
      <c r="H13" s="8"/>
    </row>
    <row r="14" spans="1:8" ht="30" x14ac:dyDescent="0.25">
      <c r="A14" s="2">
        <v>9</v>
      </c>
      <c r="B14" s="27"/>
      <c r="C14" s="27"/>
      <c r="D14" s="27"/>
      <c r="E14" s="27"/>
      <c r="F14" s="27"/>
      <c r="G14" s="27"/>
      <c r="H14" s="8"/>
    </row>
    <row r="17" spans="1:8" ht="21.75" customHeight="1" x14ac:dyDescent="0.25">
      <c r="A17" s="38" t="s">
        <v>371</v>
      </c>
      <c r="B17" s="36"/>
      <c r="C17" s="36"/>
      <c r="D17" s="36"/>
      <c r="E17" s="36"/>
      <c r="F17" s="36"/>
      <c r="G17" s="36"/>
      <c r="H17" s="36"/>
    </row>
    <row r="18" spans="1:8" ht="27.75" customHeight="1" x14ac:dyDescent="0.25">
      <c r="A18" s="3" t="s">
        <v>216</v>
      </c>
      <c r="B18" s="3" t="s">
        <v>372</v>
      </c>
      <c r="C18" s="3" t="s">
        <v>373</v>
      </c>
      <c r="D18" s="3" t="s">
        <v>374</v>
      </c>
      <c r="E18" s="3" t="s">
        <v>375</v>
      </c>
      <c r="F18" s="3" t="s">
        <v>130</v>
      </c>
      <c r="G18" s="3" t="s">
        <v>376</v>
      </c>
      <c r="H18" s="3" t="s">
        <v>124</v>
      </c>
    </row>
    <row r="19" spans="1:8" ht="45" x14ac:dyDescent="0.25">
      <c r="A19" s="27" t="inlineStr">
        <is>
          <t xml:space="preserve">Governança</t>
        </is>
      </c>
      <c r="B19" s="27" t="inlineStr">
        <is>
          <t xml:space="preserve">Seleção direta do parceiro, sem matriz comparativa formal</t>
        </is>
      </c>
      <c r="C19" s="27" t="inlineStr">
        <is>
          <t xml:space="preserve">Necessidade de transparência perante o docente e o PMO</t>
        </is>
      </c>
      <c r="D19" s="27" t="inlineStr">
        <is>
          <t xml:space="preserve">Registrar formalmente os critérios da escolha (valor social e viabilidade de comunicação)</t>
        </is>
      </c>
      <c r="E19" s="27"/>
      <c r="F19" s="27"/>
      <c r="G19" s="27"/>
      <c r="H19" s="27"/>
    </row>
    <row r="20" spans="1:8" ht="30" x14ac:dyDescent="0.25">
      <c r="A20" s="27"/>
      <c r="B20" s="27"/>
      <c r="C20" s="27"/>
      <c r="D20" s="27"/>
      <c r="E20" s="27"/>
      <c r="F20" s="27"/>
      <c r="G20" s="27"/>
      <c r="H20" s="27"/>
    </row>
    <row r="21" spans="1:8" ht="30" x14ac:dyDescent="0.25">
      <c r="A21" s="27"/>
      <c r="B21" s="27"/>
      <c r="C21" s="27"/>
      <c r="D21" s="27"/>
      <c r="E21" s="27"/>
      <c r="F21" s="27"/>
      <c r="G21" s="27"/>
      <c r="H21" s="27"/>
    </row>
    <row r="22" spans="1:8" ht="30" x14ac:dyDescent="0.25">
      <c r="A22" s="27"/>
      <c r="B22" s="27"/>
      <c r="C22" s="27"/>
      <c r="D22" s="27"/>
      <c r="E22" s="27"/>
      <c r="F22" s="27"/>
      <c r="G22" s="27"/>
      <c r="H22" s="27"/>
    </row>
    <row r="23" spans="1:8" ht="45" x14ac:dyDescent="0.25">
      <c r="A23" s="27"/>
      <c r="B23" s="27"/>
      <c r="C23" s="27"/>
      <c r="D23" s="27"/>
      <c r="E23" s="27"/>
      <c r="F23" s="27"/>
      <c r="G23" s="27"/>
      <c r="H23" s="27"/>
    </row>
    <row r="24" spans="1:8" x14ac:dyDescent="0.25">
      <c r="A24" s="8"/>
      <c r="B24" s="8"/>
      <c r="C24" s="8"/>
      <c r="D24" s="8"/>
      <c r="E24" s="8"/>
      <c r="F24" s="8"/>
      <c r="G24" s="8"/>
      <c r="H24" s="8"/>
    </row>
    <row r="27" spans="1:8" ht="21.75" customHeight="1" x14ac:dyDescent="0.25">
      <c r="A27" s="38" t="s">
        <v>377</v>
      </c>
      <c r="B27" s="36"/>
      <c r="C27" s="36"/>
      <c r="D27" s="36"/>
      <c r="E27" s="36"/>
      <c r="F27" s="36"/>
      <c r="G27" s="36"/>
      <c r="H27" s="36"/>
    </row>
    <row r="28" spans="1:8" ht="30" x14ac:dyDescent="0.25">
      <c r="A28" s="2" t="s">
        <v>378</v>
      </c>
      <c r="B28" s="27"/>
    </row>
    <row r="29" spans="1:8" x14ac:dyDescent="0.25">
      <c r="A29" s="2" t="s">
        <v>379</v>
      </c>
      <c r="B29" s="27"/>
    </row>
    <row r="30" spans="1:8" ht="30" x14ac:dyDescent="0.25">
      <c r="A30" s="2" t="s">
        <v>380</v>
      </c>
      <c r="B30" s="27" t="inlineStr">
        <is>
          <t xml:space="preserve">Coleta de imagens e depoimentos (25/08); wireframe/protótipo (05/09); backlog no Kanban (01/09); registro da reunião de validação do protótipo (Diário — Entrada 4, a preencher)</t>
        </is>
      </c>
    </row>
    <row r="31" spans="1:8" ht="45" x14ac:dyDescent="0.25">
      <c r="A31" s="2" t="s">
        <v>381</v>
      </c>
      <c r="B31" s="27"/>
    </row>
    <row r="32" spans="1:8" ht="30" x14ac:dyDescent="0.25">
      <c r="A32" s="2" t="s">
        <v>382</v>
      </c>
      <c r="B32" s="27"/>
    </row>
    <row r="33" spans="1:2" x14ac:dyDescent="0.25">
      <c r="A33" s="2" t="s">
        <v>383</v>
      </c>
      <c r="B33" s="27"/>
    </row>
    <row r="34" spans="1:2" x14ac:dyDescent="0.25">
      <c r="A34" s="2" t="s">
        <v>384</v>
      </c>
      <c r="B34" s="29" t="inlineStr">
        <is>
          <t xml:space="preserve">Previsto: 15/11/2026</t>
        </is>
      </c>
    </row>
    <row r="35" spans="1:2" x14ac:dyDescent="0.25">
      <c r="A35" s="2" t="s">
        <v>385</v>
      </c>
      <c r="B35" s="27" t="inlineStr">
        <is>
          <t xml:space="preserve">Daniel Laranjeira (a validar)</t>
        </is>
      </c>
    </row>
    <row r="36" spans="1:2" ht="45" x14ac:dyDescent="0.25">
      <c r="A36" s="2" t="s">
        <v>386</v>
      </c>
      <c r="B36" s="27" t="inlineStr">
        <is>
          <t xml:space="preserve">Preenchido a partir da Ata de Validação de Escopo/TAP v1.2 e do Diário de Bordo do PisoFácil. Campos sem informação nas fontes ficaram em branco para a equipe completar.</t>
        </is>
      </c>
    </row>
  </sheetData>
  <mergeCells count="5">
    <mergeCell ref="A4:H4"/>
    <mergeCell ref="A2:H2"/>
    <mergeCell ref="A1:H1"/>
    <mergeCell ref="A27:H27"/>
    <mergeCell ref="A17:H17"/>
  </mergeCells>
  <dataValidations count="3">
    <dataValidation type="list" sqref="F6:F14" xr:uid="{00000000-0002-0000-1100-000000000000}">
      <formula1>"Atingido,Parcialmente atingido,Não atingido"</formula1>
      <formula2>0</formula2>
    </dataValidation>
    <dataValidation type="list" sqref="B28" xr:uid="{00000000-0002-0000-1100-000001000000}">
      <formula1>"Sim,Não"</formula1>
      <formula2>0</formula2>
    </dataValidation>
    <dataValidation type="list" sqref="B29" xr:uid="{00000000-0002-0000-1100-000002000000}">
      <formula1>"TRL 4,TRL 5"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7"/>
  <sheetViews>
    <sheetView topLeftCell="A5" zoomScaleNormal="100" workbookViewId="0">
      <selection sqref="A1:J1"/>
    </sheetView>
  </sheetViews>
  <sheetFormatPr defaultColWidth="8.7109375" defaultRowHeight="15" x14ac:dyDescent="0.25"/>
  <cols>
    <col min="1" max="1" width="22" customWidth="1"/>
    <col min="2" max="2" width="20" customWidth="1"/>
    <col min="3" max="3" width="22" customWidth="1"/>
    <col min="4" max="4" width="20" customWidth="1"/>
    <col min="5" max="5" width="22" customWidth="1"/>
    <col min="6" max="6" width="20" customWidth="1"/>
    <col min="7" max="7" width="4" customWidth="1"/>
    <col min="8" max="8" width="24" customWidth="1"/>
    <col min="9" max="10" width="14" customWidth="1"/>
  </cols>
  <sheetData>
    <row r="1" spans="1:10" ht="30" customHeight="1" x14ac:dyDescent="0.25">
      <c r="A1" s="37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1.75" customHeight="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</row>
    <row r="4" spans="1:10" ht="21.75" customHeight="1" x14ac:dyDescent="0.25">
      <c r="A4" s="38" t="s">
        <v>2</v>
      </c>
      <c r="B4" s="36"/>
      <c r="C4" s="36"/>
      <c r="D4" s="36"/>
      <c r="E4" s="36"/>
      <c r="F4" s="36"/>
      <c r="G4" s="36"/>
      <c r="H4" s="36"/>
      <c r="I4" s="36"/>
      <c r="J4" s="36"/>
    </row>
    <row r="5" spans="1:10" x14ac:dyDescent="0.25">
      <c r="A5" t="s">
        <v>3</v>
      </c>
      <c r="B5" s="18">
        <f>IF('1. Identificação'!B5="","",'1. Identificação'!B5)</f>
      </c>
      <c r="C5" t="s">
        <v>4</v>
      </c>
      <c r="D5" s="18">
        <f>IF('1. Identificação'!B7="","",'1. Identificação'!B7)</f>
      </c>
      <c r="E5" t="s">
        <v>5</v>
      </c>
      <c r="F5" s="18">
        <f>IF('1. Identificação'!B13="","",'1. Identificação'!B13)</f>
      </c>
    </row>
    <row r="6" spans="1:10" x14ac:dyDescent="0.25">
      <c r="A6" t="s">
        <v>6</v>
      </c>
      <c r="B6" s="19">
        <f>'10. Horas Extensão'!B69</f>
      </c>
      <c r="C6" s="20" t="s">
        <v>7</v>
      </c>
      <c r="D6" s="21">
        <v>60</v>
      </c>
      <c r="E6" s="20" t="s">
        <v>8</v>
      </c>
      <c r="F6" s="22">
        <f>IFERROR(B6/D6,0)</f>
      </c>
    </row>
    <row r="7" spans="1:10" x14ac:dyDescent="0.25">
      <c r="A7" t="s">
        <v>9</v>
      </c>
      <c r="B7" s="23">
        <f>IFERROR(AVERAGE('6. Cronograma'!H5:H43),0)</f>
      </c>
      <c r="C7" s="20" t="s">
        <v>10</v>
      </c>
      <c r="D7" s="21">
        <f>COUNTIF('15. Evidências'!F5:F29,"Concluído")</f>
      </c>
      <c r="E7" s="20" t="s">
        <v>11</v>
      </c>
      <c r="F7" s="21">
        <f>COUNTIF('8. Riscos'!G5:G33,"&gt;=15")</f>
      </c>
    </row>
    <row r="8" spans="1:10" x14ac:dyDescent="0.25">
      <c r="A8" t="s">
        <v>12</v>
      </c>
      <c r="B8" s="24">
        <f>'13. EVM'!B30</f>
      </c>
      <c r="C8" s="25" t="s">
        <v>13</v>
      </c>
      <c r="D8" s="24">
        <f>'13. EVM'!B31</f>
      </c>
      <c r="E8" t="s">
        <v>14</v>
      </c>
      <c r="F8" s="18">
        <f>IF('16. Encerramento'!B29="","",'16. Encerramento'!B29)</f>
      </c>
    </row>
    <row r="11" spans="1:10" ht="21.75" customHeight="1" x14ac:dyDescent="0.25">
      <c r="A11" s="38" t="s">
        <v>15</v>
      </c>
      <c r="B11" s="36"/>
      <c r="C11" s="36"/>
      <c r="D11" s="36"/>
      <c r="E11" s="36"/>
      <c r="F11" s="36"/>
      <c r="G11" s="36"/>
      <c r="H11" s="36"/>
      <c r="I11" s="36"/>
      <c r="J11" s="36"/>
    </row>
    <row r="12" spans="1:10" ht="27.75" customHeight="1" x14ac:dyDescent="0.2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H12" s="3" t="s">
        <v>22</v>
      </c>
      <c r="I12" s="3" t="s">
        <v>23</v>
      </c>
    </row>
    <row r="13" spans="1:10" ht="30" customHeight="1" x14ac:dyDescent="0.25">
      <c r="A13" s="2" t="s">
        <v>24</v>
      </c>
      <c r="B13" s="17">
        <f>'14. Indicadores ODS'!E5</f>
      </c>
      <c r="C13" s="2">
        <f>'14. Indicadores ODS'!F5</f>
      </c>
      <c r="D13" s="2" t="s">
        <v>25</v>
      </c>
      <c r="E13" s="2"/>
      <c r="F13" s="2"/>
      <c r="H13" s="2" t="s">
        <v>26</v>
      </c>
      <c r="I13" s="2">
        <f>COUNTIF('9. Backlog-Sprints'!I5:I53,H13)</f>
      </c>
    </row>
    <row r="14" spans="1:10" x14ac:dyDescent="0.25">
      <c r="A14" s="2" t="s">
        <v>27</v>
      </c>
      <c r="B14" s="17">
        <f>'14. Indicadores ODS'!E7</f>
      </c>
      <c r="C14" s="2">
        <f>'14. Indicadores ODS'!F7</f>
      </c>
      <c r="D14" s="2" t="s">
        <v>28</v>
      </c>
      <c r="E14" s="2"/>
      <c r="F14" s="2"/>
      <c r="H14" s="2" t="s">
        <v>29</v>
      </c>
      <c r="I14" s="2">
        <f>COUNTIF('9. Backlog-Sprints'!I5:I53,H14)</f>
      </c>
    </row>
    <row r="15" spans="1:10" ht="30" customHeight="1" x14ac:dyDescent="0.25">
      <c r="A15" s="2" t="s">
        <v>30</v>
      </c>
      <c r="B15" s="17">
        <f>'14. Indicadores ODS'!E9</f>
      </c>
      <c r="C15" s="2">
        <f>'14. Indicadores ODS'!F9</f>
      </c>
      <c r="D15" s="2" t="s">
        <v>31</v>
      </c>
      <c r="E15" s="2"/>
      <c r="F15" s="2"/>
      <c r="H15" s="2" t="s">
        <v>32</v>
      </c>
      <c r="I15" s="2">
        <f>COUNTIF('9. Backlog-Sprints'!I5:I53,H15)</f>
      </c>
    </row>
    <row r="16" spans="1:10" ht="30" customHeight="1" x14ac:dyDescent="0.25">
      <c r="A16" s="2" t="s">
        <v>33</v>
      </c>
      <c r="B16" s="17">
        <f>IF(COUNT('14. Indicadores ODS'!E10:E11)=0,"",AVERAGE('14. Indicadores ODS'!E10:E11))</f>
      </c>
      <c r="C16" s="2">
        <f>IF(B16="","",IF(B16&gt;=0.95,"Excelente",IF(B16&gt;=0.85,"Adequado","Atenção")))</f>
      </c>
      <c r="D16" s="2" t="s">
        <v>34</v>
      </c>
      <c r="E16" s="2"/>
      <c r="F16" s="2"/>
      <c r="H16" s="2" t="s">
        <v>35</v>
      </c>
      <c r="I16" s="2">
        <f>COUNTIF('9. Backlog-Sprints'!I5:I53,H16)</f>
      </c>
    </row>
    <row r="17" spans="8:9" x14ac:dyDescent="0.25">
      <c r="H17" s="2" t="s">
        <v>36</v>
      </c>
      <c r="I17" s="2">
        <f>COUNTIF('9. Backlog-Sprints'!I5:I53,H17)</f>
      </c>
    </row>
  </sheetData>
  <mergeCells count="4">
    <mergeCell ref="A1:J1"/>
    <mergeCell ref="A4:J4"/>
    <mergeCell ref="A2:J2"/>
    <mergeCell ref="A11:J1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84BD-7AD2-42AB-ABDB-F80B83547DCC}">
  <dimension ref="A1:J22"/>
  <sheetViews>
    <sheetView workbookViewId="0">
      <selection activeCell="A20" sqref="A20"/>
    </sheetView>
  </sheetViews>
  <sheetFormatPr defaultRowHeight="15" x14ac:dyDescent="0.25"/>
  <cols>
    <col min="1" max="1" width="10" bestFit="1" customWidth="1"/>
    <col min="2" max="2" width="63.5703125" bestFit="1" customWidth="1"/>
    <col min="3" max="3" width="17.7109375" bestFit="1" customWidth="1"/>
    <col min="4" max="4" width="30" bestFit="1" customWidth="1"/>
    <col min="5" max="6" width="27.42578125" bestFit="1" customWidth="1"/>
    <col min="7" max="7" width="44.28515625" bestFit="1" customWidth="1"/>
    <col min="8" max="8" width="6" bestFit="1" customWidth="1"/>
    <col min="9" max="9" width="10.28515625" bestFit="1" customWidth="1"/>
    <col min="10" max="10" width="46.5703125" bestFit="1" customWidth="1"/>
  </cols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</row>
    <row r="2" spans="1:10" x14ac:dyDescent="0.25">
      <c r="A2"/>
      <c r="B2"/>
      <c r="C2"/>
      <c r="D2"/>
      <c r="E2"/>
      <c r="F2"/>
      <c r="G2"/>
      <c r="H2"/>
      <c r="I2"/>
      <c r="J2"/>
    </row>
    <row r="3" spans="1:10" x14ac:dyDescent="0.25">
      <c r="A3"/>
      <c r="B3"/>
      <c r="C3"/>
      <c r="D3"/>
      <c r="E3"/>
      <c r="F3"/>
      <c r="G3"/>
      <c r="H3"/>
      <c r="I3"/>
      <c r="J3"/>
    </row>
    <row r="4" spans="1:10" x14ac:dyDescent="0.25">
      <c r="A4"/>
      <c r="B4"/>
      <c r="C4"/>
      <c r="D4"/>
      <c r="E4"/>
      <c r="F4"/>
      <c r="G4"/>
      <c r="H4"/>
      <c r="I4"/>
      <c r="J4"/>
    </row>
    <row r="5" spans="1:10" x14ac:dyDescent="0.25">
      <c r="A5"/>
      <c r="B5"/>
      <c r="C5"/>
      <c r="D5"/>
      <c r="E5"/>
      <c r="F5"/>
      <c r="G5"/>
      <c r="H5"/>
      <c r="I5"/>
      <c r="J5"/>
    </row>
    <row r="6" spans="1:10" x14ac:dyDescent="0.25">
      <c r="A6"/>
      <c r="B6"/>
      <c r="C6"/>
      <c r="D6"/>
      <c r="E6"/>
      <c r="F6"/>
      <c r="G6"/>
      <c r="H6"/>
      <c r="I6"/>
      <c r="J6"/>
    </row>
    <row r="7" spans="1:10" x14ac:dyDescent="0.25">
      <c r="A7"/>
      <c r="B7"/>
      <c r="C7"/>
      <c r="D7"/>
      <c r="E7"/>
      <c r="F7"/>
      <c r="G7"/>
      <c r="H7"/>
      <c r="I7"/>
      <c r="J7"/>
    </row>
    <row r="8" spans="1:10" x14ac:dyDescent="0.25">
      <c r="A8"/>
      <c r="B8"/>
      <c r="C8"/>
      <c r="D8"/>
      <c r="E8"/>
      <c r="F8"/>
      <c r="G8"/>
      <c r="H8"/>
      <c r="I8"/>
      <c r="J8"/>
    </row>
    <row r="9" spans="1:10" x14ac:dyDescent="0.25">
      <c r="A9"/>
      <c r="B9"/>
      <c r="C9"/>
      <c r="D9"/>
      <c r="E9"/>
      <c r="F9"/>
      <c r="G9"/>
      <c r="H9"/>
      <c r="I9"/>
      <c r="J9"/>
    </row>
    <row r="10" spans="1:10" x14ac:dyDescent="0.25">
      <c r="A10"/>
      <c r="B10"/>
      <c r="C10"/>
      <c r="D10"/>
      <c r="E10"/>
      <c r="F10"/>
      <c r="G10"/>
      <c r="H10"/>
      <c r="I10"/>
      <c r="J10"/>
    </row>
    <row r="11" spans="1:10" x14ac:dyDescent="0.25">
      <c r="A11"/>
      <c r="B11"/>
      <c r="C11"/>
      <c r="D11"/>
      <c r="E11"/>
      <c r="F11"/>
      <c r="G11"/>
      <c r="H11"/>
      <c r="I11"/>
      <c r="J11"/>
    </row>
    <row r="12" spans="1:10" x14ac:dyDescent="0.25">
      <c r="A12"/>
      <c r="B12"/>
      <c r="C12"/>
      <c r="D12"/>
      <c r="E12"/>
      <c r="F12"/>
      <c r="G12"/>
      <c r="H12"/>
      <c r="I12"/>
      <c r="J12"/>
    </row>
    <row r="13" spans="1:10" x14ac:dyDescent="0.25">
      <c r="A13"/>
      <c r="B13"/>
      <c r="C13"/>
      <c r="D13"/>
      <c r="E13"/>
      <c r="F13"/>
      <c r="G13"/>
      <c r="H13"/>
      <c r="I13"/>
      <c r="J13"/>
    </row>
    <row r="14" spans="1:10" x14ac:dyDescent="0.25">
      <c r="A14"/>
      <c r="B14"/>
      <c r="C14"/>
      <c r="D14"/>
      <c r="E14"/>
      <c r="F14"/>
      <c r="G14"/>
      <c r="H14"/>
      <c r="I14"/>
      <c r="J14"/>
    </row>
    <row r="15" spans="1:10" x14ac:dyDescent="0.25">
      <c r="A15"/>
      <c r="B15"/>
      <c r="C15"/>
      <c r="D15"/>
      <c r="E15"/>
      <c r="F15"/>
      <c r="G15"/>
      <c r="H15"/>
      <c r="I15"/>
      <c r="J15"/>
    </row>
    <row r="16" spans="1:10" x14ac:dyDescent="0.25">
      <c r="A16"/>
      <c r="B16"/>
      <c r="C16"/>
      <c r="D16"/>
      <c r="E16"/>
      <c r="F16"/>
      <c r="G16"/>
      <c r="H16"/>
      <c r="I16"/>
      <c r="J16"/>
    </row>
    <row r="17" spans="1:10" x14ac:dyDescent="0.25">
      <c r="A17"/>
      <c r="B17"/>
      <c r="C17"/>
      <c r="D17"/>
      <c r="E17"/>
      <c r="F17"/>
      <c r="G17"/>
      <c r="H17"/>
      <c r="I17"/>
      <c r="J17"/>
    </row>
    <row r="18" spans="1:10" x14ac:dyDescent="0.25">
      <c r="A18"/>
      <c r="B18"/>
      <c r="C18"/>
      <c r="D18"/>
      <c r="E18"/>
      <c r="F18"/>
      <c r="G18"/>
      <c r="H18"/>
      <c r="I18"/>
      <c r="J18"/>
    </row>
    <row r="19" spans="1:10" x14ac:dyDescent="0.25">
      <c r="A19"/>
      <c r="B19"/>
      <c r="C19"/>
      <c r="D19"/>
      <c r="E19"/>
      <c r="F19"/>
      <c r="G19"/>
      <c r="H19"/>
      <c r="I19"/>
      <c r="J19"/>
    </row>
    <row r="20" spans="1:10" x14ac:dyDescent="0.25">
      <c r="A20"/>
      <c r="B20"/>
      <c r="C20"/>
      <c r="D20"/>
      <c r="E20"/>
      <c r="F20"/>
      <c r="G20"/>
      <c r="H20"/>
      <c r="I20"/>
      <c r="J20"/>
    </row>
    <row r="21" spans="1:10" x14ac:dyDescent="0.25">
      <c r="A21"/>
      <c r="B21"/>
      <c r="C21"/>
      <c r="D21"/>
      <c r="E21"/>
      <c r="F21"/>
      <c r="G21"/>
      <c r="H21"/>
      <c r="I21"/>
      <c r="J21"/>
    </row>
    <row r="22" spans="1:10" x14ac:dyDescent="0.25">
      <c r="A22"/>
      <c r="B22"/>
      <c r="C22"/>
      <c r="D22"/>
      <c r="E22"/>
      <c r="F22"/>
      <c r="G22"/>
      <c r="H22"/>
      <c r="I22"/>
      <c r="J2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888A-C9BA-44A8-8261-D5BBD60ED58D}">
  <dimension ref="A1:J22"/>
  <sheetViews>
    <sheetView topLeftCell="A13" workbookViewId="0">
      <selection activeCell="D25" sqref="D25"/>
    </sheetView>
  </sheetViews>
  <sheetFormatPr defaultRowHeight="15" x14ac:dyDescent="0.25"/>
  <cols>
    <col min="1" max="1" width="10" bestFit="1" customWidth="1"/>
    <col min="2" max="2" width="63.5703125" bestFit="1" customWidth="1"/>
    <col min="3" max="3" width="17.7109375" bestFit="1" customWidth="1"/>
    <col min="4" max="4" width="30" bestFit="1" customWidth="1"/>
    <col min="5" max="6" width="27.42578125" bestFit="1" customWidth="1"/>
    <col min="7" max="7" width="44.28515625" bestFit="1" customWidth="1"/>
    <col min="8" max="8" width="6" bestFit="1" customWidth="1"/>
    <col min="9" max="9" width="8" bestFit="1" customWidth="1"/>
    <col min="10" max="10" width="46.5703125" bestFit="1" customWidth="1"/>
  </cols>
  <sheetData>
    <row r="1" spans="1:10" x14ac:dyDescent="0.25">
      <c r="A1" s="31" t="s">
        <v>88</v>
      </c>
      <c r="B1" s="31" t="s">
        <v>89</v>
      </c>
      <c r="C1" s="31" t="s">
        <v>90</v>
      </c>
      <c r="D1" s="31" t="s">
        <v>91</v>
      </c>
      <c r="E1" s="31" t="s">
        <v>92</v>
      </c>
      <c r="F1" s="31" t="s">
        <v>388</v>
      </c>
      <c r="G1" s="31" t="s">
        <v>389</v>
      </c>
      <c r="H1" s="31" t="s">
        <v>390</v>
      </c>
      <c r="I1" s="31" t="s">
        <v>391</v>
      </c>
      <c r="J1" s="31" t="s">
        <v>392</v>
      </c>
    </row>
    <row r="2" spans="1:10" x14ac:dyDescent="0.25">
      <c r="A2"/>
      <c r="B2"/>
      <c r="C2"/>
      <c r="D2"/>
      <c r="E2"/>
      <c r="F2"/>
      <c r="G2"/>
      <c r="H2"/>
      <c r="I2"/>
      <c r="J2"/>
    </row>
    <row r="3" spans="1:10" x14ac:dyDescent="0.25">
      <c r="A3"/>
      <c r="B3"/>
      <c r="C3"/>
      <c r="D3"/>
      <c r="E3"/>
      <c r="F3"/>
      <c r="G3"/>
      <c r="H3"/>
      <c r="I3"/>
      <c r="J3"/>
    </row>
    <row r="4" spans="1:10" x14ac:dyDescent="0.25">
      <c r="A4"/>
      <c r="B4"/>
      <c r="C4"/>
      <c r="D4"/>
      <c r="E4"/>
      <c r="F4"/>
      <c r="G4"/>
      <c r="H4"/>
      <c r="I4"/>
      <c r="J4"/>
    </row>
    <row r="5" spans="1:10" x14ac:dyDescent="0.25">
      <c r="A5"/>
      <c r="B5"/>
      <c r="C5"/>
      <c r="D5"/>
      <c r="E5"/>
      <c r="F5"/>
      <c r="G5"/>
      <c r="H5"/>
      <c r="I5"/>
      <c r="J5"/>
    </row>
    <row r="6" spans="1:10" x14ac:dyDescent="0.25">
      <c r="A6"/>
      <c r="B6"/>
      <c r="C6"/>
      <c r="D6"/>
      <c r="E6"/>
      <c r="F6"/>
      <c r="G6"/>
      <c r="H6"/>
      <c r="I6"/>
      <c r="J6"/>
    </row>
    <row r="7" spans="1:10" x14ac:dyDescent="0.25">
      <c r="A7"/>
      <c r="B7"/>
      <c r="C7"/>
      <c r="D7"/>
      <c r="E7"/>
      <c r="F7"/>
      <c r="G7"/>
      <c r="H7"/>
      <c r="I7"/>
      <c r="J7"/>
    </row>
    <row r="8" spans="1:10" x14ac:dyDescent="0.25">
      <c r="A8"/>
      <c r="B8"/>
      <c r="C8"/>
      <c r="D8"/>
      <c r="E8"/>
      <c r="F8"/>
      <c r="G8"/>
      <c r="H8"/>
      <c r="I8"/>
      <c r="J8"/>
    </row>
    <row r="9" spans="1:10" x14ac:dyDescent="0.25">
      <c r="A9"/>
      <c r="B9"/>
      <c r="C9"/>
      <c r="D9"/>
      <c r="E9"/>
      <c r="F9"/>
      <c r="G9"/>
      <c r="H9"/>
      <c r="I9"/>
      <c r="J9"/>
    </row>
    <row r="10" spans="1:10" x14ac:dyDescent="0.25">
      <c r="A10"/>
      <c r="B10"/>
      <c r="C10"/>
      <c r="D10"/>
      <c r="E10"/>
      <c r="F10"/>
      <c r="G10"/>
      <c r="H10"/>
      <c r="I10"/>
      <c r="J10"/>
    </row>
    <row r="11" spans="1:10" x14ac:dyDescent="0.25">
      <c r="A11"/>
      <c r="B11"/>
      <c r="C11"/>
      <c r="D11"/>
      <c r="E11"/>
      <c r="F11"/>
      <c r="G11"/>
      <c r="H11"/>
      <c r="I11"/>
      <c r="J11"/>
    </row>
    <row r="12" spans="1:10" x14ac:dyDescent="0.25">
      <c r="A12"/>
      <c r="B12"/>
      <c r="C12"/>
      <c r="D12"/>
      <c r="E12"/>
      <c r="F12"/>
      <c r="G12"/>
      <c r="H12"/>
      <c r="I12"/>
      <c r="J12"/>
    </row>
    <row r="13" spans="1:10" x14ac:dyDescent="0.25">
      <c r="A13"/>
      <c r="B13"/>
      <c r="C13"/>
      <c r="D13"/>
      <c r="E13"/>
      <c r="F13"/>
      <c r="G13"/>
      <c r="H13"/>
      <c r="I13"/>
      <c r="J13"/>
    </row>
    <row r="14" spans="1:10" x14ac:dyDescent="0.25">
      <c r="A14"/>
      <c r="B14"/>
      <c r="C14"/>
      <c r="D14"/>
      <c r="E14"/>
      <c r="F14"/>
      <c r="G14"/>
      <c r="H14"/>
      <c r="I14"/>
      <c r="J14"/>
    </row>
    <row r="15" spans="1:10" x14ac:dyDescent="0.25">
      <c r="A15"/>
      <c r="B15"/>
      <c r="C15"/>
      <c r="D15"/>
      <c r="E15"/>
      <c r="F15"/>
      <c r="G15"/>
      <c r="H15"/>
      <c r="I15"/>
      <c r="J15"/>
    </row>
    <row r="16" spans="1:10" x14ac:dyDescent="0.25">
      <c r="A16"/>
      <c r="B16"/>
      <c r="C16"/>
      <c r="D16"/>
      <c r="E16"/>
      <c r="F16"/>
      <c r="G16"/>
      <c r="H16"/>
      <c r="I16"/>
      <c r="J16"/>
    </row>
    <row r="17" spans="1:10" x14ac:dyDescent="0.25">
      <c r="A17"/>
      <c r="B17"/>
      <c r="C17"/>
      <c r="D17"/>
      <c r="E17"/>
      <c r="F17"/>
      <c r="G17"/>
      <c r="H17"/>
      <c r="I17"/>
      <c r="J17"/>
    </row>
    <row r="18" spans="1:10" x14ac:dyDescent="0.25">
      <c r="A18"/>
      <c r="B18"/>
      <c r="C18"/>
      <c r="D18"/>
      <c r="E18"/>
      <c r="F18"/>
      <c r="G18"/>
      <c r="H18"/>
      <c r="I18"/>
      <c r="J18"/>
    </row>
    <row r="19" spans="1:10" x14ac:dyDescent="0.25">
      <c r="A19"/>
      <c r="B19"/>
      <c r="C19"/>
      <c r="D19"/>
      <c r="E19"/>
      <c r="F19"/>
      <c r="G19"/>
      <c r="H19"/>
      <c r="I19"/>
      <c r="J19"/>
    </row>
    <row r="20" spans="1:10" x14ac:dyDescent="0.25">
      <c r="A20"/>
      <c r="B20"/>
      <c r="C20"/>
      <c r="D20"/>
      <c r="E20"/>
      <c r="F20"/>
      <c r="G20"/>
      <c r="H20"/>
      <c r="I20"/>
      <c r="J20"/>
    </row>
    <row r="21" spans="1:10" x14ac:dyDescent="0.25">
      <c r="A21"/>
      <c r="B21"/>
      <c r="C21"/>
      <c r="D21"/>
      <c r="E21"/>
      <c r="F21"/>
      <c r="G21"/>
      <c r="H21"/>
      <c r="I21"/>
      <c r="J21"/>
    </row>
    <row r="22" spans="1:10" x14ac:dyDescent="0.25">
      <c r="A22"/>
      <c r="B22"/>
      <c r="C22"/>
      <c r="D22"/>
      <c r="E22"/>
      <c r="F22"/>
      <c r="G22"/>
      <c r="H22"/>
      <c r="I22"/>
      <c r="J22"/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2D03-7776-4761-84C2-F9C479FDF20F}">
  <dimension ref="A1"/>
  <sheetViews>
    <sheetView workbookViewId="0"/>
  </sheetViews>
  <sheetFormatPr defaultRowHeight="15" x14ac:dyDescent="0.25"/>
  <cols>
    <col min="1" max="1" width="16.28515625" bestFit="1" customWidth="1"/>
  </cols>
  <sheetData>
    <row r="1" spans="1:1" x14ac:dyDescent="0.25">
      <c r="A1" t="s">
        <v>387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7ED4C4-3147-4B60-B0A3-4153B64350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2</vt:i4>
      </vt:variant>
    </vt:vector>
  </HeadingPairs>
  <TitlesOfParts>
    <vt:vector size="23" baseType="lpstr">
      <vt:lpstr>LEIA-ME</vt:lpstr>
      <vt:lpstr>1. Identificação</vt:lpstr>
      <vt:lpstr>2. TAP</vt:lpstr>
      <vt:lpstr>3. Stakeholders</vt:lpstr>
      <vt:lpstr>4. Requisitos</vt:lpstr>
      <vt:lpstr>5. EAP-RACI</vt:lpstr>
      <vt:lpstr>6. Cronograma</vt:lpstr>
      <vt:lpstr>7. Orçamento</vt:lpstr>
      <vt:lpstr>8. Riscos</vt:lpstr>
      <vt:lpstr>9. Backlog-Sprints</vt:lpstr>
      <vt:lpstr>10. Horas Extensão</vt:lpstr>
      <vt:lpstr>11. Mudanças</vt:lpstr>
      <vt:lpstr>12. Qualidade-Testes</vt:lpstr>
      <vt:lpstr>13. EVM</vt:lpstr>
      <vt:lpstr>14. Indicadores ODS</vt:lpstr>
      <vt:lpstr>15. Evidências</vt:lpstr>
      <vt:lpstr>16. Encerramento</vt:lpstr>
      <vt:lpstr>Dashboard</vt:lpstr>
      <vt:lpstr>Jira_teste_leitura</vt:lpstr>
      <vt:lpstr>Jira_consulta</vt:lpstr>
      <vt:lpstr>Função Invocada</vt:lpstr>
      <vt:lpstr>Jira_consulta!DadosExternos_1</vt:lpstr>
      <vt:lpstr>'Função Invocada'!DadosExternos_2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Amancio de Sa</dc:creator>
  <cp:lastModifiedBy>Equipe PisoFácil</cp:lastModifiedBy>
  <cp:revision>3</cp:revision>
  <cp:lastPrinted>2026-10-22T00:28:36Z</cp:lastPrinted>
  <dcterms:created xsi:type="dcterms:W3CDTF">2026-08-10T22:14:00Z</dcterms:created>
  <dcterms:modified xsi:type="dcterms:W3CDTF">2026-10-26T22:30:40Z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0x010100D06C744B24975744881C3B95E7D01716</vt:lpwstr>
  </property>
</Properties>
</file>